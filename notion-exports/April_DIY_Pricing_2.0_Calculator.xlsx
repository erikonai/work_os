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Rate Matrix" sheetId="3" state="visible" r:id="rId3"/>
    <sheet name="Deal Calculator" sheetId="4" state="visible" r:id="rId4"/>
    <sheet name="Blended Rate Grid" sheetId="5" state="visible" r:id="rId5"/>
    <sheet name="Platform T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-"/>
    <numFmt numFmtId="165" formatCode="0.0%"/>
    <numFmt numFmtId="166" formatCode="#,##0;(#,##0);-"/>
    <numFmt numFmtId="167" formatCode="#,##0,&quot;K&quot;"/>
    <numFmt numFmtId="168" formatCode="$#,##0;($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166" fontId="6" fillId="0" borderId="1" pivotButton="0" quotePrefix="0" xfId="0"/>
    <xf numFmtId="166" fontId="5" fillId="0" borderId="0" pivotButton="0" quotePrefix="0" xfId="0"/>
    <xf numFmtId="165" fontId="6" fillId="0" borderId="1" pivotButton="0" quotePrefix="0" xfId="0"/>
    <xf numFmtId="167" fontId="4" fillId="2" borderId="1" pivotButton="0" quotePrefix="0" xfId="0"/>
    <xf numFmtId="0" fontId="7" fillId="0" borderId="0" pivotButton="0" quotePrefix="0" xfId="0"/>
    <xf numFmtId="164" fontId="5" fillId="0" borderId="1" pivotButton="0" quotePrefix="0" xfId="0"/>
    <xf numFmtId="49" fontId="6" fillId="3" borderId="1" pivotButton="0" quotePrefix="0" xfId="0"/>
    <xf numFmtId="165" fontId="5" fillId="0" borderId="0" pivotButton="0" quotePrefix="0" xfId="0"/>
    <xf numFmtId="166" fontId="7" fillId="0" borderId="0" pivotButton="0" quotePrefix="0" xfId="0"/>
    <xf numFmtId="166" fontId="5" fillId="0" borderId="1" pivotButton="0" quotePrefix="0" xfId="0"/>
    <xf numFmtId="168" fontId="5" fillId="0" borderId="1" pivotButton="0" quotePrefix="0" xfId="0"/>
    <xf numFmtId="166" fontId="4" fillId="0" borderId="1" pivotButton="0" quotePrefix="0" xfId="0"/>
    <xf numFmtId="168" fontId="4" fillId="0" borderId="1" pivotButton="0" quotePrefix="0" xfId="0"/>
    <xf numFmtId="168" fontId="4" fillId="4" borderId="1" pivotButton="0" quotePrefix="0" xfId="0"/>
    <xf numFmtId="165" fontId="5" fillId="0" borderId="1" pivotButton="0" quotePrefix="0" xfId="0"/>
    <xf numFmtId="49" fontId="5" fillId="0" borderId="1" pivotButton="0" quotePrefix="0" xfId="0"/>
    <xf numFmtId="168" fontId="6" fillId="3" borderId="1" pivotButton="0" quotePrefix="0" xfId="0"/>
    <xf numFmtId="168" fontId="6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April DIY Pricing 2.0 Calculator</t>
        </is>
      </c>
    </row>
    <row r="3">
      <c r="B3" s="2" t="inlineStr">
        <is>
          <t>Rebuilt from the Notion memo 'april Pricing 2.0 (v2): DIY Standard Framework, Pro Bespoke' (last edited 2026-06-25).</t>
        </is>
      </c>
    </row>
    <row r="5">
      <c r="B5" s="3" t="inlineStr">
        <is>
          <t>How to use</t>
        </is>
      </c>
    </row>
    <row r="6">
      <c r="B6" s="4" t="inlineStr">
        <is>
          <t>1. Inputs</t>
        </is>
      </c>
      <c r="C6" s="5" t="inlineStr">
        <is>
          <t>Set the rate-engine drivers. Every blue cell is editable; everything else is a formula.</t>
        </is>
      </c>
    </row>
    <row r="7">
      <c r="B7" s="4" t="inlineStr">
        <is>
          <t>2. Deal Calculator</t>
        </is>
      </c>
      <c r="C7" s="5" t="inlineStr">
        <is>
          <t>The working tool. Enter a minimum commitment, a forecast volume, a platform tier and any discount; read the bill.</t>
        </is>
      </c>
    </row>
    <row r="8">
      <c r="B8" s="4" t="inlineStr">
        <is>
          <t>3. Rate Matrix</t>
        </is>
      </c>
      <c r="C8" s="5" t="inlineStr">
        <is>
          <t>The published rate card: volume band x minimum commitment. Recomputes from Inputs.</t>
        </is>
      </c>
    </row>
    <row r="9">
      <c r="B9" s="4" t="inlineStr">
        <is>
          <t>4. Blended Rate Grid</t>
        </is>
      </c>
      <c r="C9" s="5" t="inlineStr">
        <is>
          <t>Effective $/filing by commitment and forecast volume, i.e. the waterfall.</t>
        </is>
      </c>
    </row>
    <row r="10">
      <c r="B10" s="4" t="inlineStr">
        <is>
          <t>5. Platform Tiers</t>
        </is>
      </c>
      <c r="C10" s="5" t="inlineStr">
        <is>
          <t>Scale / Growth / Enterprise fees and the service levels attached to them.</t>
        </is>
      </c>
    </row>
    <row r="12">
      <c r="B12" s="3" t="inlineStr">
        <is>
          <t>Colour convention</t>
        </is>
      </c>
    </row>
    <row r="13">
      <c r="B13" s="4" t="inlineStr">
        <is>
          <t>Blue text</t>
        </is>
      </c>
      <c r="C13" s="5" t="inlineStr">
        <is>
          <t>Hardcoded input. Edit these.</t>
        </is>
      </c>
    </row>
    <row r="14">
      <c r="B14" s="4" t="inlineStr">
        <is>
          <t>Black text</t>
        </is>
      </c>
      <c r="C14" s="5" t="inlineStr">
        <is>
          <t>Formula. Do not overwrite.</t>
        </is>
      </c>
    </row>
    <row r="15">
      <c r="B15" s="4" t="inlineStr">
        <is>
          <t>Green text</t>
        </is>
      </c>
      <c r="C15" s="5" t="inlineStr">
        <is>
          <t>Link to another sheet in this workbook.</t>
        </is>
      </c>
    </row>
    <row r="16">
      <c r="B16" s="4" t="inlineStr">
        <is>
          <t>Yellow fill</t>
        </is>
      </c>
      <c r="C16" s="5" t="inlineStr">
        <is>
          <t>Key assumption or the cell you are meant to fill in on the Deal Calculator.</t>
        </is>
      </c>
    </row>
    <row r="18">
      <c r="B18" s="3" t="inlineStr">
        <is>
          <t>The pricing model in one paragraph</t>
        </is>
      </c>
    </row>
    <row r="19" ht="60" customHeight="1">
      <c r="C19" s="6" t="inlineStr">
        <is>
          <t>Every DIY deal is two independent choices. (1) A platform fee, tied to service level, billed monthly. (2) A minimum unit commitment, which drives the per-filing rate: a larger commitment unlocks a larger discount. The rate card starts at the entry rate for the first volume band and steps down by a fixed dollar amount per band. Each additional 10K of minimum commitment prices a fixed percent below the prior column, compounding. Every rate clamps at the absolute floor and rounds to the nearest $0.10. Volume is billed as a waterfall through the bands, so as actual volume rises the blended effective rate falls further.</t>
        </is>
      </c>
    </row>
    <row r="21">
      <c r="B21" s="3" t="inlineStr">
        <is>
          <t>Rules carried over from the memo</t>
        </is>
      </c>
    </row>
    <row r="22">
      <c r="C22" s="5" t="inlineStr">
        <is>
          <t>- Tiered model only. No flat per-filing fees; flat pricing requires COO approval.</t>
        </is>
      </c>
    </row>
    <row r="23">
      <c r="C23" s="5" t="inlineStr">
        <is>
          <t>- Discounts must be a percentage off the tier rate. Campfire can only bill percentage discounts, so dollar-step adjustments are out.</t>
        </is>
      </c>
    </row>
    <row r="24">
      <c r="C24" s="5" t="inlineStr">
        <is>
          <t>- There is no Starter tier. Anything under the Scale minimum is steered up to Scale or handled off-framework.</t>
        </is>
      </c>
    </row>
    <row r="25">
      <c r="C25" s="5" t="inlineStr">
        <is>
          <t>- Volume below the committed minimum bills at the minimum.</t>
        </is>
      </c>
    </row>
    <row r="26">
      <c r="C26" s="5" t="inlineStr">
        <is>
          <t>- Sweet spot is roughly 40% of usage above the committed minimum in Year 1 and 20% in Year 2. Coming in below the minimum triggers a renegotiation.</t>
        </is>
      </c>
    </row>
    <row r="27">
      <c r="C27" s="5" t="inlineStr">
        <is>
          <t>- Pro and Pro Review are bespoke, enterprise-level deals. This calculator is DIY only; use it as a starting point for Pro, then negotiate.</t>
        </is>
      </c>
    </row>
    <row r="29">
      <c r="B29" s="3" t="inlineStr">
        <is>
          <t>Known variance vs the published matrix</t>
        </is>
      </c>
    </row>
    <row r="30" ht="60" customHeight="1">
      <c r="C30" s="6" t="inlineStr">
        <is>
          <t>One cell differs by $0.10. At the 0-25,000 band and a 30K commitment the engine computes $25.00 x 0.9^2 = $20.25, an exact half-cent tie, which Excel rounds up to $20.30 while the memo's matrix prints $20.20. Every other cell in the published matrix reproduces exactly. Flagged rather than fudged: change the rounding rule on Inputs if you want the memo's value.</t>
        </is>
      </c>
    </row>
    <row r="32">
      <c r="B32" s="3" t="inlineStr">
        <is>
          <t>Open questions from the memo (unresolved, not modelled here)</t>
        </is>
      </c>
    </row>
    <row r="33">
      <c r="C33" s="5" t="inlineStr">
        <is>
          <t>- Platform fee derivation: no data-driven method yet, acknowledged gap.</t>
        </is>
      </c>
    </row>
    <row r="34">
      <c r="C34" s="5" t="inlineStr">
        <is>
          <t>- Seasonal-only payment pushback (Robinhood, Jackson Hewitt want to pay Jan-Apr only). Needs guardrails.</t>
        </is>
      </c>
    </row>
    <row r="35">
      <c r="C35" s="5" t="inlineStr">
        <is>
          <t>- Year-2+ justification: decouple the platform fee rationale from implementation support.</t>
        </is>
      </c>
    </row>
    <row r="36">
      <c r="C36" s="5" t="inlineStr">
        <is>
          <t>- Below-minimum trigger: codify the renegotiation rule.</t>
        </is>
      </c>
    </row>
    <row r="37">
      <c r="C37" s="5" t="inlineStr">
        <is>
          <t>- DIY unit cost: need fully loaded cost per filing to confirm the $7.00 floor clears the margin target.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2" customWidth="1" min="4" max="4"/>
    <col width="78" customWidth="1" min="5" max="5"/>
  </cols>
  <sheetData>
    <row r="2">
      <c r="B2" s="1" t="inlineStr">
        <is>
          <t>Rate engine inputs</t>
        </is>
      </c>
    </row>
    <row r="3">
      <c r="B3" s="2" t="inlineStr">
        <is>
          <t>Every blue cell drives the Rate Matrix, the Blended Rate Grid and the Deal Calculator.</t>
        </is>
      </c>
    </row>
    <row r="5">
      <c r="B5" s="7" t="inlineStr">
        <is>
          <t>Driver</t>
        </is>
      </c>
      <c r="C5" s="7" t="inlineStr">
        <is>
          <t>Value</t>
        </is>
      </c>
      <c r="D5" s="7" t="inlineStr">
        <is>
          <t>Format</t>
        </is>
      </c>
      <c r="E5" s="7" t="inlineStr">
        <is>
          <t>Note</t>
        </is>
      </c>
    </row>
    <row r="6">
      <c r="B6" s="5" t="inlineStr">
        <is>
          <t>Entry rate (first band, lowest commit)</t>
        </is>
      </c>
      <c r="C6" s="8" t="n">
        <v>25</v>
      </c>
      <c r="D6" s="2" t="inlineStr">
        <is>
          <t>input</t>
        </is>
      </c>
      <c r="E6" s="2" t="inlineStr">
        <is>
          <t>Base column top-left of the rate card.</t>
        </is>
      </c>
    </row>
    <row r="7">
      <c r="B7" s="5" t="inlineStr">
        <is>
          <t>Band step-down (per volume band)</t>
        </is>
      </c>
      <c r="C7" s="8" t="n">
        <v>-2</v>
      </c>
      <c r="D7" s="2" t="inlineStr">
        <is>
          <t>input</t>
        </is>
      </c>
      <c r="E7" s="2" t="inlineStr">
        <is>
          <t>The base column steps down this much per band: $25 / $23 / $21 / $19 / $17.</t>
        </is>
      </c>
    </row>
    <row r="8">
      <c r="B8" s="5" t="inlineStr">
        <is>
          <t>Discount per commitment step</t>
        </is>
      </c>
      <c r="C8" s="9" t="n">
        <v>0.1</v>
      </c>
      <c r="D8" s="2" t="inlineStr">
        <is>
          <t>input</t>
        </is>
      </c>
      <c r="E8" s="2" t="inlineStr">
        <is>
          <t>Each higher commitment column prices this percent below the prior one, compounding.</t>
        </is>
      </c>
    </row>
    <row r="9">
      <c r="B9" s="5" t="inlineStr">
        <is>
          <t>Commitment step size (filings)</t>
        </is>
      </c>
      <c r="C9" s="10" t="n">
        <v>10000</v>
      </c>
      <c r="D9" s="2" t="inlineStr">
        <is>
          <t>input</t>
        </is>
      </c>
      <c r="E9" s="2" t="inlineStr">
        <is>
          <t>10% per 10K of commitment.</t>
        </is>
      </c>
    </row>
    <row r="10">
      <c r="B10" s="5" t="inlineStr">
        <is>
          <t>Base commitment (matrix column 1)</t>
        </is>
      </c>
      <c r="C10" s="10" t="n">
        <v>10000</v>
      </c>
      <c r="D10" s="2" t="inlineStr">
        <is>
          <t>input</t>
        </is>
      </c>
      <c r="E10" s="2" t="inlineStr">
        <is>
          <t>The commitment the entry rate is quoted at.</t>
        </is>
      </c>
    </row>
    <row r="11">
      <c r="B11" s="5" t="inlineStr">
        <is>
          <t>Absolute floor ($ per filing)</t>
        </is>
      </c>
      <c r="C11" s="8" t="n">
        <v>7</v>
      </c>
      <c r="D11" s="2" t="inlineStr">
        <is>
          <t>input</t>
        </is>
      </c>
      <c r="E11" s="2" t="inlineStr">
        <is>
          <t>Hard floor. No rate prints below this, at any band or commitment.</t>
        </is>
      </c>
    </row>
    <row r="12">
      <c r="B12" s="5" t="inlineStr">
        <is>
          <t>Rounding increment ($)</t>
        </is>
      </c>
      <c r="C12" s="8" t="n">
        <v>0.1</v>
      </c>
      <c r="D12" s="2" t="inlineStr">
        <is>
          <t>input</t>
        </is>
      </c>
      <c r="E12" s="2" t="inlineStr">
        <is>
          <t>All rates round to the nearest $0.10.</t>
        </is>
      </c>
    </row>
    <row r="15">
      <c r="B15" s="3" t="inlineStr">
        <is>
          <t>Volume bands</t>
        </is>
      </c>
    </row>
    <row r="16">
      <c r="B16" s="2" t="inlineStr">
        <is>
          <t>Bands grow: first 25K, next 100K, next 250K, next 500K, then everything beyond.</t>
        </is>
      </c>
    </row>
    <row r="18">
      <c r="B18" s="7" t="inlineStr">
        <is>
          <t>Band</t>
        </is>
      </c>
      <c r="C18" s="7" t="inlineStr">
        <is>
          <t>Lower bound</t>
        </is>
      </c>
      <c r="D18" s="7" t="inlineStr">
        <is>
          <t>Upper bound</t>
        </is>
      </c>
      <c r="E18" s="7" t="inlineStr">
        <is>
          <t>Band width</t>
        </is>
      </c>
      <c r="F18" s="7" t="inlineStr">
        <is>
          <t>Label</t>
        </is>
      </c>
    </row>
    <row r="19">
      <c r="B19" s="5" t="n">
        <v>1</v>
      </c>
      <c r="C19" s="11" t="n">
        <v>0</v>
      </c>
      <c r="D19" s="11" t="n">
        <v>25000</v>
      </c>
      <c r="E19" s="12">
        <f>D19-C19</f>
        <v/>
      </c>
      <c r="F19" s="5" t="inlineStr">
        <is>
          <t>0 to 25,000</t>
        </is>
      </c>
    </row>
    <row r="20">
      <c r="B20" s="5" t="n">
        <v>2</v>
      </c>
      <c r="C20" s="11" t="n">
        <v>25000</v>
      </c>
      <c r="D20" s="11" t="n">
        <v>125000</v>
      </c>
      <c r="E20" s="12">
        <f>D20-C20</f>
        <v/>
      </c>
      <c r="F20" s="5" t="inlineStr">
        <is>
          <t>25,001 to 125,000</t>
        </is>
      </c>
    </row>
    <row r="21">
      <c r="B21" s="5" t="n">
        <v>3</v>
      </c>
      <c r="C21" s="11" t="n">
        <v>125000</v>
      </c>
      <c r="D21" s="11" t="n">
        <v>375000</v>
      </c>
      <c r="E21" s="12">
        <f>D21-C21</f>
        <v/>
      </c>
      <c r="F21" s="5" t="inlineStr">
        <is>
          <t>125,001 to 375,000</t>
        </is>
      </c>
    </row>
    <row r="22">
      <c r="B22" s="5" t="n">
        <v>4</v>
      </c>
      <c r="C22" s="11" t="n">
        <v>375000</v>
      </c>
      <c r="D22" s="11" t="n">
        <v>875000</v>
      </c>
      <c r="E22" s="12">
        <f>D22-C22</f>
        <v/>
      </c>
      <c r="F22" s="5" t="inlineStr">
        <is>
          <t>375,001 to 875,000</t>
        </is>
      </c>
    </row>
    <row r="23">
      <c r="B23" s="5" t="n">
        <v>5</v>
      </c>
      <c r="C23" s="11" t="n">
        <v>875000</v>
      </c>
      <c r="D23" s="11" t="n">
        <v>100000000</v>
      </c>
      <c r="E23" s="12">
        <f>D23-C23</f>
        <v/>
      </c>
      <c r="F23" s="5" t="inlineStr">
        <is>
          <t>875,001+</t>
        </is>
      </c>
    </row>
    <row r="24">
      <c r="E24" s="2" t="inlineStr">
        <is>
          <t>Upper bound of the final band is an arbitrary large number so the waterfall never truncates.</t>
        </is>
      </c>
    </row>
    <row r="26">
      <c r="B26" s="3" t="inlineStr">
        <is>
          <t>Approval bands (discount off tier rate)</t>
        </is>
      </c>
    </row>
    <row r="27">
      <c r="B27" s="7" t="inlineStr">
        <is>
          <t>Discount up to</t>
        </is>
      </c>
      <c r="C27" s="7" t="inlineStr">
        <is>
          <t>Approver</t>
        </is>
      </c>
    </row>
    <row r="28">
      <c r="B28" s="13" t="n">
        <v>0</v>
      </c>
      <c r="C28" s="5" t="inlineStr">
        <is>
          <t>Standard rate card - no approval</t>
        </is>
      </c>
      <c r="E28" s="2" t="inlineStr">
        <is>
          <t>Bands per the memo: 0 / 15 / 25 / 50 / &gt;50%.</t>
        </is>
      </c>
    </row>
    <row r="29">
      <c r="B29" s="13" t="n">
        <v>0.15</v>
      </c>
      <c r="C29" s="5" t="inlineStr">
        <is>
          <t>AE / Sales lead</t>
        </is>
      </c>
    </row>
    <row r="30">
      <c r="B30" s="13" t="n">
        <v>0.25</v>
      </c>
      <c r="C30" s="5" t="inlineStr">
        <is>
          <t>VP Sales</t>
        </is>
      </c>
    </row>
    <row r="31">
      <c r="B31" s="13" t="n">
        <v>0.5</v>
      </c>
      <c r="C31" s="5" t="inlineStr">
        <is>
          <t>CRO</t>
        </is>
      </c>
    </row>
    <row r="32">
      <c r="B32" s="13" t="n">
        <v>1</v>
      </c>
      <c r="C32" s="5" t="inlineStr">
        <is>
          <t>COO - off-framework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B2" s="1" t="inlineStr">
        <is>
          <t>DIY rate matrix</t>
        </is>
      </c>
    </row>
    <row r="3">
      <c r="B3" s="2" t="inlineStr">
        <is>
          <t>Rows = volume band. Columns = minimum commitment. Every cell is a formula off Inputs.</t>
        </is>
      </c>
    </row>
    <row r="5">
      <c r="B5" s="7" t="inlineStr">
        <is>
          <t>Volume band</t>
        </is>
      </c>
      <c r="C5" s="14" t="n">
        <v>10000</v>
      </c>
      <c r="D5" s="14" t="n">
        <v>20000</v>
      </c>
      <c r="E5" s="14" t="n">
        <v>30000</v>
      </c>
      <c r="F5" s="14" t="n">
        <v>40000</v>
      </c>
      <c r="G5" s="14" t="n">
        <v>50000</v>
      </c>
      <c r="H5" s="14" t="n">
        <v>60000</v>
      </c>
      <c r="I5" s="14" t="n">
        <v>70000</v>
      </c>
      <c r="J5" s="14" t="n">
        <v>80000</v>
      </c>
      <c r="K5" s="14" t="n">
        <v>90000</v>
      </c>
      <c r="L5" s="14" t="n">
        <v>100000</v>
      </c>
    </row>
    <row r="6">
      <c r="B6" s="15">
        <f>Inputs!F19</f>
        <v/>
      </c>
      <c r="C6" s="16">
        <f>MAX(Inputs!$C$11,ROUND((Inputs!$C$6+0*Inputs!$C$7)*(1-Inputs!$C$8)^((C$5-Inputs!$C$10)/Inputs!$C$9),1))</f>
        <v/>
      </c>
      <c r="D6" s="16">
        <f>MAX(Inputs!$C$11,ROUND((Inputs!$C$6+0*Inputs!$C$7)*(1-Inputs!$C$8)^((D$5-Inputs!$C$10)/Inputs!$C$9),1))</f>
        <v/>
      </c>
      <c r="E6" s="16">
        <f>MAX(Inputs!$C$11,ROUND((Inputs!$C$6+0*Inputs!$C$7)*(1-Inputs!$C$8)^((E$5-Inputs!$C$10)/Inputs!$C$9),1))</f>
        <v/>
      </c>
      <c r="F6" s="16">
        <f>MAX(Inputs!$C$11,ROUND((Inputs!$C$6+0*Inputs!$C$7)*(1-Inputs!$C$8)^((F$5-Inputs!$C$10)/Inputs!$C$9),1))</f>
        <v/>
      </c>
      <c r="G6" s="16">
        <f>MAX(Inputs!$C$11,ROUND((Inputs!$C$6+0*Inputs!$C$7)*(1-Inputs!$C$8)^((G$5-Inputs!$C$10)/Inputs!$C$9),1))</f>
        <v/>
      </c>
      <c r="H6" s="16">
        <f>MAX(Inputs!$C$11,ROUND((Inputs!$C$6+0*Inputs!$C$7)*(1-Inputs!$C$8)^((H$5-Inputs!$C$10)/Inputs!$C$9),1))</f>
        <v/>
      </c>
      <c r="I6" s="16">
        <f>MAX(Inputs!$C$11,ROUND((Inputs!$C$6+0*Inputs!$C$7)*(1-Inputs!$C$8)^((I$5-Inputs!$C$10)/Inputs!$C$9),1))</f>
        <v/>
      </c>
      <c r="J6" s="16">
        <f>MAX(Inputs!$C$11,ROUND((Inputs!$C$6+0*Inputs!$C$7)*(1-Inputs!$C$8)^((J$5-Inputs!$C$10)/Inputs!$C$9),1))</f>
        <v/>
      </c>
      <c r="K6" s="16">
        <f>MAX(Inputs!$C$11,ROUND((Inputs!$C$6+0*Inputs!$C$7)*(1-Inputs!$C$8)^((K$5-Inputs!$C$10)/Inputs!$C$9),1))</f>
        <v/>
      </c>
      <c r="L6" s="16">
        <f>MAX(Inputs!$C$11,ROUND((Inputs!$C$6+0*Inputs!$C$7)*(1-Inputs!$C$8)^((L$5-Inputs!$C$10)/Inputs!$C$9),1))</f>
        <v/>
      </c>
    </row>
    <row r="7">
      <c r="B7" s="15">
        <f>Inputs!F20</f>
        <v/>
      </c>
      <c r="C7" s="16">
        <f>MAX(Inputs!$C$11,ROUND((Inputs!$C$6+1*Inputs!$C$7)*(1-Inputs!$C$8)^((C$5-Inputs!$C$10)/Inputs!$C$9),1))</f>
        <v/>
      </c>
      <c r="D7" s="16">
        <f>MAX(Inputs!$C$11,ROUND((Inputs!$C$6+1*Inputs!$C$7)*(1-Inputs!$C$8)^((D$5-Inputs!$C$10)/Inputs!$C$9),1))</f>
        <v/>
      </c>
      <c r="E7" s="16">
        <f>MAX(Inputs!$C$11,ROUND((Inputs!$C$6+1*Inputs!$C$7)*(1-Inputs!$C$8)^((E$5-Inputs!$C$10)/Inputs!$C$9),1))</f>
        <v/>
      </c>
      <c r="F7" s="16">
        <f>MAX(Inputs!$C$11,ROUND((Inputs!$C$6+1*Inputs!$C$7)*(1-Inputs!$C$8)^((F$5-Inputs!$C$10)/Inputs!$C$9),1))</f>
        <v/>
      </c>
      <c r="G7" s="16">
        <f>MAX(Inputs!$C$11,ROUND((Inputs!$C$6+1*Inputs!$C$7)*(1-Inputs!$C$8)^((G$5-Inputs!$C$10)/Inputs!$C$9),1))</f>
        <v/>
      </c>
      <c r="H7" s="16">
        <f>MAX(Inputs!$C$11,ROUND((Inputs!$C$6+1*Inputs!$C$7)*(1-Inputs!$C$8)^((H$5-Inputs!$C$10)/Inputs!$C$9),1))</f>
        <v/>
      </c>
      <c r="I7" s="16">
        <f>MAX(Inputs!$C$11,ROUND((Inputs!$C$6+1*Inputs!$C$7)*(1-Inputs!$C$8)^((I$5-Inputs!$C$10)/Inputs!$C$9),1))</f>
        <v/>
      </c>
      <c r="J7" s="16">
        <f>MAX(Inputs!$C$11,ROUND((Inputs!$C$6+1*Inputs!$C$7)*(1-Inputs!$C$8)^((J$5-Inputs!$C$10)/Inputs!$C$9),1))</f>
        <v/>
      </c>
      <c r="K7" s="16">
        <f>MAX(Inputs!$C$11,ROUND((Inputs!$C$6+1*Inputs!$C$7)*(1-Inputs!$C$8)^((K$5-Inputs!$C$10)/Inputs!$C$9),1))</f>
        <v/>
      </c>
      <c r="L7" s="16">
        <f>MAX(Inputs!$C$11,ROUND((Inputs!$C$6+1*Inputs!$C$7)*(1-Inputs!$C$8)^((L$5-Inputs!$C$10)/Inputs!$C$9),1))</f>
        <v/>
      </c>
    </row>
    <row r="8">
      <c r="B8" s="15">
        <f>Inputs!F21</f>
        <v/>
      </c>
      <c r="C8" s="16">
        <f>MAX(Inputs!$C$11,ROUND((Inputs!$C$6+2*Inputs!$C$7)*(1-Inputs!$C$8)^((C$5-Inputs!$C$10)/Inputs!$C$9),1))</f>
        <v/>
      </c>
      <c r="D8" s="16">
        <f>MAX(Inputs!$C$11,ROUND((Inputs!$C$6+2*Inputs!$C$7)*(1-Inputs!$C$8)^((D$5-Inputs!$C$10)/Inputs!$C$9),1))</f>
        <v/>
      </c>
      <c r="E8" s="16">
        <f>MAX(Inputs!$C$11,ROUND((Inputs!$C$6+2*Inputs!$C$7)*(1-Inputs!$C$8)^((E$5-Inputs!$C$10)/Inputs!$C$9),1))</f>
        <v/>
      </c>
      <c r="F8" s="16">
        <f>MAX(Inputs!$C$11,ROUND((Inputs!$C$6+2*Inputs!$C$7)*(1-Inputs!$C$8)^((F$5-Inputs!$C$10)/Inputs!$C$9),1))</f>
        <v/>
      </c>
      <c r="G8" s="16">
        <f>MAX(Inputs!$C$11,ROUND((Inputs!$C$6+2*Inputs!$C$7)*(1-Inputs!$C$8)^((G$5-Inputs!$C$10)/Inputs!$C$9),1))</f>
        <v/>
      </c>
      <c r="H8" s="16">
        <f>MAX(Inputs!$C$11,ROUND((Inputs!$C$6+2*Inputs!$C$7)*(1-Inputs!$C$8)^((H$5-Inputs!$C$10)/Inputs!$C$9),1))</f>
        <v/>
      </c>
      <c r="I8" s="16">
        <f>MAX(Inputs!$C$11,ROUND((Inputs!$C$6+2*Inputs!$C$7)*(1-Inputs!$C$8)^((I$5-Inputs!$C$10)/Inputs!$C$9),1))</f>
        <v/>
      </c>
      <c r="J8" s="16">
        <f>MAX(Inputs!$C$11,ROUND((Inputs!$C$6+2*Inputs!$C$7)*(1-Inputs!$C$8)^((J$5-Inputs!$C$10)/Inputs!$C$9),1))</f>
        <v/>
      </c>
      <c r="K8" s="16">
        <f>MAX(Inputs!$C$11,ROUND((Inputs!$C$6+2*Inputs!$C$7)*(1-Inputs!$C$8)^((K$5-Inputs!$C$10)/Inputs!$C$9),1))</f>
        <v/>
      </c>
      <c r="L8" s="16">
        <f>MAX(Inputs!$C$11,ROUND((Inputs!$C$6+2*Inputs!$C$7)*(1-Inputs!$C$8)^((L$5-Inputs!$C$10)/Inputs!$C$9),1))</f>
        <v/>
      </c>
    </row>
    <row r="9">
      <c r="B9" s="15">
        <f>Inputs!F22</f>
        <v/>
      </c>
      <c r="C9" s="16">
        <f>MAX(Inputs!$C$11,ROUND((Inputs!$C$6+3*Inputs!$C$7)*(1-Inputs!$C$8)^((C$5-Inputs!$C$10)/Inputs!$C$9),1))</f>
        <v/>
      </c>
      <c r="D9" s="16">
        <f>MAX(Inputs!$C$11,ROUND((Inputs!$C$6+3*Inputs!$C$7)*(1-Inputs!$C$8)^((D$5-Inputs!$C$10)/Inputs!$C$9),1))</f>
        <v/>
      </c>
      <c r="E9" s="16">
        <f>MAX(Inputs!$C$11,ROUND((Inputs!$C$6+3*Inputs!$C$7)*(1-Inputs!$C$8)^((E$5-Inputs!$C$10)/Inputs!$C$9),1))</f>
        <v/>
      </c>
      <c r="F9" s="16">
        <f>MAX(Inputs!$C$11,ROUND((Inputs!$C$6+3*Inputs!$C$7)*(1-Inputs!$C$8)^((F$5-Inputs!$C$10)/Inputs!$C$9),1))</f>
        <v/>
      </c>
      <c r="G9" s="16">
        <f>MAX(Inputs!$C$11,ROUND((Inputs!$C$6+3*Inputs!$C$7)*(1-Inputs!$C$8)^((G$5-Inputs!$C$10)/Inputs!$C$9),1))</f>
        <v/>
      </c>
      <c r="H9" s="16">
        <f>MAX(Inputs!$C$11,ROUND((Inputs!$C$6+3*Inputs!$C$7)*(1-Inputs!$C$8)^((H$5-Inputs!$C$10)/Inputs!$C$9),1))</f>
        <v/>
      </c>
      <c r="I9" s="16">
        <f>MAX(Inputs!$C$11,ROUND((Inputs!$C$6+3*Inputs!$C$7)*(1-Inputs!$C$8)^((I$5-Inputs!$C$10)/Inputs!$C$9),1))</f>
        <v/>
      </c>
      <c r="J9" s="16">
        <f>MAX(Inputs!$C$11,ROUND((Inputs!$C$6+3*Inputs!$C$7)*(1-Inputs!$C$8)^((J$5-Inputs!$C$10)/Inputs!$C$9),1))</f>
        <v/>
      </c>
      <c r="K9" s="16">
        <f>MAX(Inputs!$C$11,ROUND((Inputs!$C$6+3*Inputs!$C$7)*(1-Inputs!$C$8)^((K$5-Inputs!$C$10)/Inputs!$C$9),1))</f>
        <v/>
      </c>
      <c r="L9" s="16">
        <f>MAX(Inputs!$C$11,ROUND((Inputs!$C$6+3*Inputs!$C$7)*(1-Inputs!$C$8)^((L$5-Inputs!$C$10)/Inputs!$C$9),1))</f>
        <v/>
      </c>
    </row>
    <row r="10">
      <c r="B10" s="15">
        <f>Inputs!F23</f>
        <v/>
      </c>
      <c r="C10" s="16">
        <f>MAX(Inputs!$C$11,ROUND((Inputs!$C$6+4*Inputs!$C$7)*(1-Inputs!$C$8)^((C$5-Inputs!$C$10)/Inputs!$C$9),1))</f>
        <v/>
      </c>
      <c r="D10" s="16">
        <f>MAX(Inputs!$C$11,ROUND((Inputs!$C$6+4*Inputs!$C$7)*(1-Inputs!$C$8)^((D$5-Inputs!$C$10)/Inputs!$C$9),1))</f>
        <v/>
      </c>
      <c r="E10" s="16">
        <f>MAX(Inputs!$C$11,ROUND((Inputs!$C$6+4*Inputs!$C$7)*(1-Inputs!$C$8)^((E$5-Inputs!$C$10)/Inputs!$C$9),1))</f>
        <v/>
      </c>
      <c r="F10" s="16">
        <f>MAX(Inputs!$C$11,ROUND((Inputs!$C$6+4*Inputs!$C$7)*(1-Inputs!$C$8)^((F$5-Inputs!$C$10)/Inputs!$C$9),1))</f>
        <v/>
      </c>
      <c r="G10" s="16">
        <f>MAX(Inputs!$C$11,ROUND((Inputs!$C$6+4*Inputs!$C$7)*(1-Inputs!$C$8)^((G$5-Inputs!$C$10)/Inputs!$C$9),1))</f>
        <v/>
      </c>
      <c r="H10" s="16">
        <f>MAX(Inputs!$C$11,ROUND((Inputs!$C$6+4*Inputs!$C$7)*(1-Inputs!$C$8)^((H$5-Inputs!$C$10)/Inputs!$C$9),1))</f>
        <v/>
      </c>
      <c r="I10" s="16">
        <f>MAX(Inputs!$C$11,ROUND((Inputs!$C$6+4*Inputs!$C$7)*(1-Inputs!$C$8)^((I$5-Inputs!$C$10)/Inputs!$C$9),1))</f>
        <v/>
      </c>
      <c r="J10" s="16">
        <f>MAX(Inputs!$C$11,ROUND((Inputs!$C$6+4*Inputs!$C$7)*(1-Inputs!$C$8)^((J$5-Inputs!$C$10)/Inputs!$C$9),1))</f>
        <v/>
      </c>
      <c r="K10" s="16">
        <f>MAX(Inputs!$C$11,ROUND((Inputs!$C$6+4*Inputs!$C$7)*(1-Inputs!$C$8)^((K$5-Inputs!$C$10)/Inputs!$C$9),1))</f>
        <v/>
      </c>
      <c r="L10" s="16">
        <f>MAX(Inputs!$C$11,ROUND((Inputs!$C$6+4*Inputs!$C$7)*(1-Inputs!$C$8)^((L$5-Inputs!$C$10)/Inputs!$C$9),1))</f>
        <v/>
      </c>
    </row>
    <row r="13">
      <c r="B13" s="2" t="inlineStr">
        <is>
          <t>Rates clamp at the floor and round to the nearest $0.10.</t>
        </is>
      </c>
    </row>
    <row r="14">
      <c r="B14" s="2" t="inlineStr">
        <is>
          <t>Note: at the 0-25,000 band / 30K commitment the engine computes an exact $20.25 tie and rounds to $20.30; the memo's published matrix prints $20.20. Every other cell matches the memo exactly.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6" customWidth="1" min="8" max="8"/>
  </cols>
  <sheetData>
    <row r="2">
      <c r="B2" s="1" t="inlineStr">
        <is>
          <t>Deal calculator</t>
        </is>
      </c>
    </row>
    <row r="3">
      <c r="B3" s="2" t="inlineStr">
        <is>
          <t>Fill the yellow cells. Everything else calculates.</t>
        </is>
      </c>
    </row>
    <row r="5">
      <c r="B5" s="3" t="inlineStr">
        <is>
          <t>Deal inputs</t>
        </is>
      </c>
    </row>
    <row r="6">
      <c r="B6" s="5" t="inlineStr">
        <is>
          <t>Client name</t>
        </is>
      </c>
      <c r="C6" s="17" t="inlineStr">
        <is>
          <t>Example Fintech Co.</t>
        </is>
      </c>
      <c r="H6" s="2" t="inlineStr">
        <is>
          <t>Example row - overwrite with the real deal.</t>
        </is>
      </c>
    </row>
    <row r="7">
      <c r="B7" s="5" t="inlineStr">
        <is>
          <t>Minimum unit commitment (filings)</t>
        </is>
      </c>
      <c r="C7" s="10" t="n">
        <v>50000</v>
      </c>
      <c r="H7" s="2" t="inlineStr">
        <is>
          <t>Drives the per-filing rate. Larger commitment = larger discount.</t>
        </is>
      </c>
    </row>
    <row r="8">
      <c r="B8" s="5" t="inlineStr">
        <is>
          <t>Forecast annual volume (filings)</t>
        </is>
      </c>
      <c r="C8" s="10" t="n">
        <v>90000</v>
      </c>
      <c r="H8" s="2" t="inlineStr">
        <is>
          <t>Actual expected filings. Sweet spot is ~40% above the minimum in Year 1.</t>
        </is>
      </c>
    </row>
    <row r="9">
      <c r="B9" s="5" t="inlineStr">
        <is>
          <t>Platform tier</t>
        </is>
      </c>
      <c r="C9" s="17" t="inlineStr">
        <is>
          <t>Growth</t>
        </is>
      </c>
      <c r="H9" s="2" t="inlineStr">
        <is>
          <t>Scale / Growth / Enterprise. Must match a tier name on Platform Tiers.</t>
        </is>
      </c>
    </row>
    <row r="10">
      <c r="B10" s="5" t="inlineStr">
        <is>
          <t>Negotiated discount (% off rate)</t>
        </is>
      </c>
      <c r="C10" s="9" t="n">
        <v>0</v>
      </c>
      <c r="H10" s="2" t="inlineStr">
        <is>
          <t>Percentage off the tier rate. Campfire cannot bill dollar-step discounts.</t>
        </is>
      </c>
    </row>
    <row r="12">
      <c r="B12" s="3" t="inlineStr">
        <is>
          <t>Billable volume</t>
        </is>
      </c>
    </row>
    <row r="13">
      <c r="B13" s="5" t="inlineStr">
        <is>
          <t>Billable volume (filings)</t>
        </is>
      </c>
      <c r="C13" s="12">
        <f>MAX($C$8,$C$7)</f>
        <v/>
      </c>
      <c r="H13" s="2" t="inlineStr">
        <is>
          <t>Volume below the committed minimum bills at the minimum.</t>
        </is>
      </c>
    </row>
    <row r="14">
      <c r="B14" s="5" t="inlineStr">
        <is>
          <t>Volume vs minimum</t>
        </is>
      </c>
      <c r="C14" s="18">
        <f>IF($C$7=0,0,$C$8/$C$7-1)</f>
        <v/>
      </c>
      <c r="H14" s="2" t="inlineStr">
        <is>
          <t>Positive = above the commitment. Negative triggers the renegotiation rule.</t>
        </is>
      </c>
    </row>
    <row r="15">
      <c r="B15" s="5" t="inlineStr">
        <is>
          <t>Commitment status</t>
        </is>
      </c>
      <c r="C15" s="5">
        <f>IF($C$8&lt;$C$7,"BELOW MINIMUM - renegotiate",IF(C14&gt;=0.4,"Above sweet spot",IF(C14&gt;=0.2,"In sweet spot","Above minimum")))</f>
        <v/>
      </c>
    </row>
    <row r="17">
      <c r="B17" s="3" t="inlineStr">
        <is>
          <t>Bill waterfall</t>
        </is>
      </c>
    </row>
    <row r="18">
      <c r="B18" s="2" t="inlineStr">
        <is>
          <t>Volume is billed band by band at the rate for the chosen commitment.</t>
        </is>
      </c>
    </row>
    <row r="19">
      <c r="B19" s="7" t="inlineStr">
        <is>
          <t>Volume band</t>
        </is>
      </c>
      <c r="C19" s="7" t="inlineStr">
        <is>
          <t>Lower</t>
        </is>
      </c>
      <c r="D19" s="7" t="inlineStr">
        <is>
          <t>Upper</t>
        </is>
      </c>
      <c r="E19" s="7" t="inlineStr">
        <is>
          <t>Filings in band</t>
        </is>
      </c>
      <c r="F19" s="7" t="inlineStr">
        <is>
          <t>Rate</t>
        </is>
      </c>
      <c r="G19" s="7" t="inlineStr">
        <is>
          <t>Band revenue</t>
        </is>
      </c>
    </row>
    <row r="20">
      <c r="B20" s="15">
        <f>Inputs!F19</f>
        <v/>
      </c>
      <c r="C20" s="19">
        <f>Inputs!C19</f>
        <v/>
      </c>
      <c r="D20" s="19">
        <f>Inputs!D19</f>
        <v/>
      </c>
      <c r="E20" s="20">
        <f>MAX(0,MIN($C$13,D20)-C20)</f>
        <v/>
      </c>
      <c r="F20" s="16">
        <f>MAX(Inputs!$C$11,ROUND((Inputs!$C$6+0*Inputs!$C$7)*(1-Inputs!$C$8)^(($C$7-Inputs!$C$10)/Inputs!$C$9),1))</f>
        <v/>
      </c>
      <c r="G20" s="21">
        <f>E20*F20</f>
        <v/>
      </c>
    </row>
    <row r="21">
      <c r="B21" s="15">
        <f>Inputs!F20</f>
        <v/>
      </c>
      <c r="C21" s="19">
        <f>Inputs!C20</f>
        <v/>
      </c>
      <c r="D21" s="19">
        <f>Inputs!D20</f>
        <v/>
      </c>
      <c r="E21" s="20">
        <f>MAX(0,MIN($C$13,D21)-C21)</f>
        <v/>
      </c>
      <c r="F21" s="16">
        <f>MAX(Inputs!$C$11,ROUND((Inputs!$C$6+1*Inputs!$C$7)*(1-Inputs!$C$8)^(($C$7-Inputs!$C$10)/Inputs!$C$9),1))</f>
        <v/>
      </c>
      <c r="G21" s="21">
        <f>E21*F21</f>
        <v/>
      </c>
    </row>
    <row r="22">
      <c r="B22" s="15">
        <f>Inputs!F21</f>
        <v/>
      </c>
      <c r="C22" s="19">
        <f>Inputs!C21</f>
        <v/>
      </c>
      <c r="D22" s="19">
        <f>Inputs!D21</f>
        <v/>
      </c>
      <c r="E22" s="20">
        <f>MAX(0,MIN($C$13,D22)-C22)</f>
        <v/>
      </c>
      <c r="F22" s="16">
        <f>MAX(Inputs!$C$11,ROUND((Inputs!$C$6+2*Inputs!$C$7)*(1-Inputs!$C$8)^(($C$7-Inputs!$C$10)/Inputs!$C$9),1))</f>
        <v/>
      </c>
      <c r="G22" s="21">
        <f>E22*F22</f>
        <v/>
      </c>
    </row>
    <row r="23">
      <c r="B23" s="15">
        <f>Inputs!F22</f>
        <v/>
      </c>
      <c r="C23" s="19">
        <f>Inputs!C22</f>
        <v/>
      </c>
      <c r="D23" s="19">
        <f>Inputs!D22</f>
        <v/>
      </c>
      <c r="E23" s="20">
        <f>MAX(0,MIN($C$13,D23)-C23)</f>
        <v/>
      </c>
      <c r="F23" s="16">
        <f>MAX(Inputs!$C$11,ROUND((Inputs!$C$6+3*Inputs!$C$7)*(1-Inputs!$C$8)^(($C$7-Inputs!$C$10)/Inputs!$C$9),1))</f>
        <v/>
      </c>
      <c r="G23" s="21">
        <f>E23*F23</f>
        <v/>
      </c>
    </row>
    <row r="24">
      <c r="B24" s="15">
        <f>Inputs!F23</f>
        <v/>
      </c>
      <c r="C24" s="19">
        <f>Inputs!C23</f>
        <v/>
      </c>
      <c r="D24" s="19">
        <f>Inputs!D23</f>
        <v/>
      </c>
      <c r="E24" s="20">
        <f>MAX(0,MIN($C$13,D24)-C24)</f>
        <v/>
      </c>
      <c r="F24" s="16">
        <f>MAX(Inputs!$C$11,ROUND((Inputs!$C$6+4*Inputs!$C$7)*(1-Inputs!$C$8)^(($C$7-Inputs!$C$10)/Inputs!$C$9),1))</f>
        <v/>
      </c>
      <c r="G24" s="21">
        <f>E24*F24</f>
        <v/>
      </c>
    </row>
    <row r="25">
      <c r="B25" s="4" t="inlineStr">
        <is>
          <t>Total</t>
        </is>
      </c>
      <c r="E25" s="22">
        <f>SUM(E20:E24)</f>
        <v/>
      </c>
      <c r="G25" s="23">
        <f>SUM(G20:G24)</f>
        <v/>
      </c>
      <c r="H25" s="2" t="inlineStr">
        <is>
          <t>Gross usage revenue before any negotiated discount.</t>
        </is>
      </c>
    </row>
    <row r="27">
      <c r="B27" s="3" t="inlineStr">
        <is>
          <t>Contract value</t>
        </is>
      </c>
    </row>
    <row r="28">
      <c r="B28" s="5" t="inlineStr">
        <is>
          <t>Gross usage revenue</t>
        </is>
      </c>
      <c r="C28" s="21">
        <f>G25</f>
        <v/>
      </c>
      <c r="H28" s="2" t="inlineStr">
        <is>
          <t>Sum of the waterfall.</t>
        </is>
      </c>
    </row>
    <row r="29">
      <c r="B29" s="5" t="inlineStr">
        <is>
          <t>Negotiated discount</t>
        </is>
      </c>
      <c r="C29" s="21">
        <f>-G25*$C$10</f>
        <v/>
      </c>
      <c r="H29" s="2" t="inlineStr">
        <is>
          <t>Percentage off the tier rate.</t>
        </is>
      </c>
    </row>
    <row r="30">
      <c r="B30" s="5" t="inlineStr">
        <is>
          <t>Net usage revenue</t>
        </is>
      </c>
      <c r="C30" s="21">
        <f>C28+C29</f>
        <v/>
      </c>
    </row>
    <row r="31">
      <c r="B31" s="5" t="inlineStr">
        <is>
          <t>Platform fee (annual)</t>
        </is>
      </c>
      <c r="C31" s="21">
        <f>INDEX('Platform Tiers'!$D$6:$D$8,MATCH($C$9,'Platform Tiers'!$B$6:$B$8,0))</f>
        <v/>
      </c>
      <c r="H31" s="2" t="inlineStr">
        <is>
          <t>From the selected tier.</t>
        </is>
      </c>
    </row>
    <row r="32">
      <c r="B32" s="4" t="inlineStr">
        <is>
          <t>Total contract value (annual)</t>
        </is>
      </c>
      <c r="C32" s="24">
        <f>C30+C31</f>
        <v/>
      </c>
      <c r="H32" s="2" t="inlineStr">
        <is>
          <t>Usage plus platform fee.</t>
        </is>
      </c>
    </row>
    <row r="34">
      <c r="B34" s="3" t="inlineStr">
        <is>
          <t>Effective economics</t>
        </is>
      </c>
    </row>
    <row r="35">
      <c r="B35" s="5" t="inlineStr">
        <is>
          <t>Blended rate ($/filing)</t>
        </is>
      </c>
      <c r="C35" s="16">
        <f>IF($C$13=0,0,C30/$C$13)</f>
        <v/>
      </c>
      <c r="H35" s="2" t="inlineStr">
        <is>
          <t>Net usage revenue divided by billable filings.</t>
        </is>
      </c>
    </row>
    <row r="36">
      <c r="B36" s="5" t="inlineStr">
        <is>
          <t>All-in rate incl. platform fee</t>
        </is>
      </c>
      <c r="C36" s="16">
        <f>IF($C$13=0,0,C32/$C$13)</f>
        <v/>
      </c>
      <c r="H36" s="2" t="inlineStr">
        <is>
          <t>What the client actually pays per filing.</t>
        </is>
      </c>
    </row>
    <row r="37">
      <c r="B37" s="5" t="inlineStr">
        <is>
          <t>Headline band-1 rate</t>
        </is>
      </c>
      <c r="C37" s="16">
        <f>F20</f>
        <v/>
      </c>
      <c r="H37" s="2" t="inlineStr">
        <is>
          <t>The rate the deal is quoted at before the waterfall.</t>
        </is>
      </c>
    </row>
    <row r="38">
      <c r="B38" s="5" t="inlineStr">
        <is>
          <t>Discount vs headline rate</t>
        </is>
      </c>
      <c r="C38" s="25">
        <f>IF(F20=0,0,C35/F20-1)</f>
        <v/>
      </c>
      <c r="H38" s="2" t="inlineStr">
        <is>
          <t>How far the waterfall plus discount moves off the quoted rate.</t>
        </is>
      </c>
    </row>
    <row r="39">
      <c r="B39" s="5" t="inlineStr">
        <is>
          <t>Floor check</t>
        </is>
      </c>
      <c r="C39" s="26">
        <f>IF(C35&lt;Inputs!$C$11,"BELOW $7.00 FLOOR","OK")</f>
        <v/>
      </c>
      <c r="H39" s="2" t="inlineStr">
        <is>
          <t>The floor binds per-band; this checks the blended outcome too.</t>
        </is>
      </c>
    </row>
    <row r="40">
      <c r="B40" s="5" t="inlineStr">
        <is>
          <t>Approval required</t>
        </is>
      </c>
      <c r="C40" s="26">
        <f>INDEX(Inputs!$C$28:$C$32,MATCH(TRUE,INDEX(Inputs!$B$28:$B$32&gt;=$C$10,0),0))</f>
        <v/>
      </c>
      <c r="H40" s="2" t="inlineStr">
        <is>
          <t>Driven by the negotiated discount.</t>
        </is>
      </c>
    </row>
    <row r="42">
      <c r="B42" s="2" t="inlineStr">
        <is>
          <t>Reminder: this calculator is the DIY standard framework. Pro and Pro Review are bespoke - use this as a starting point, then negotiate.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Effective blended rate by commitment and forecast volume</t>
        </is>
      </c>
    </row>
    <row r="3">
      <c r="B3" s="2" t="inlineStr">
        <is>
          <t>$ per filing. Minimum commitment down the rows, forecast volume across. Blank = volume below the commitment (bills at the minimum).</t>
        </is>
      </c>
    </row>
    <row r="5">
      <c r="B5" s="7" t="inlineStr">
        <is>
          <t>Commit \ Volume</t>
        </is>
      </c>
      <c r="C5" s="14" t="n">
        <v>25000</v>
      </c>
      <c r="D5" s="14" t="n">
        <v>50000</v>
      </c>
      <c r="E5" s="14" t="n">
        <v>100000</v>
      </c>
      <c r="F5" s="14" t="n">
        <v>250000</v>
      </c>
      <c r="G5" s="14" t="n">
        <v>500000</v>
      </c>
      <c r="H5" s="14" t="n">
        <v>1000000</v>
      </c>
    </row>
    <row r="6">
      <c r="B6" s="14" t="n">
        <v>10000</v>
      </c>
      <c r="C6" s="16">
        <f>IF(C$5&lt;$B6,"",(MAX(0,MIN(C$5,Inputs!$D$19)-Inputs!$C$19)*MAX(Inputs!$C$11,ROUND((Inputs!$C$6+0*Inputs!$C$7)*(1-Inputs!$C$8)^(($B6-Inputs!$C$10)/Inputs!$C$9),1))+MAX(0,MIN(C$5,Inputs!$D$20)-Inputs!$C$20)*MAX(Inputs!$C$11,ROUND((Inputs!$C$6+1*Inputs!$C$7)*(1-Inputs!$C$8)^(($B6-Inputs!$C$10)/Inputs!$C$9),1))+MAX(0,MIN(C$5,Inputs!$D$21)-Inputs!$C$21)*MAX(Inputs!$C$11,ROUND((Inputs!$C$6+2*Inputs!$C$7)*(1-Inputs!$C$8)^(($B6-Inputs!$C$10)/Inputs!$C$9),1))+MAX(0,MIN(C$5,Inputs!$D$22)-Inputs!$C$22)*MAX(Inputs!$C$11,ROUND((Inputs!$C$6+3*Inputs!$C$7)*(1-Inputs!$C$8)^(($B6-Inputs!$C$10)/Inputs!$C$9),1))+MAX(0,MIN(C$5,Inputs!$D$23)-Inputs!$C$23)*MAX(Inputs!$C$11,ROUND((Inputs!$C$6+4*Inputs!$C$7)*(1-Inputs!$C$8)^(($B6-Inputs!$C$10)/Inputs!$C$9),1)))/C$5)</f>
        <v/>
      </c>
      <c r="D6" s="16">
        <f>IF(D$5&lt;$B6,"",(MAX(0,MIN(D$5,Inputs!$D$19)-Inputs!$C$19)*MAX(Inputs!$C$11,ROUND((Inputs!$C$6+0*Inputs!$C$7)*(1-Inputs!$C$8)^(($B6-Inputs!$C$10)/Inputs!$C$9),1))+MAX(0,MIN(D$5,Inputs!$D$20)-Inputs!$C$20)*MAX(Inputs!$C$11,ROUND((Inputs!$C$6+1*Inputs!$C$7)*(1-Inputs!$C$8)^(($B6-Inputs!$C$10)/Inputs!$C$9),1))+MAX(0,MIN(D$5,Inputs!$D$21)-Inputs!$C$21)*MAX(Inputs!$C$11,ROUND((Inputs!$C$6+2*Inputs!$C$7)*(1-Inputs!$C$8)^(($B6-Inputs!$C$10)/Inputs!$C$9),1))+MAX(0,MIN(D$5,Inputs!$D$22)-Inputs!$C$22)*MAX(Inputs!$C$11,ROUND((Inputs!$C$6+3*Inputs!$C$7)*(1-Inputs!$C$8)^(($B6-Inputs!$C$10)/Inputs!$C$9),1))+MAX(0,MIN(D$5,Inputs!$D$23)-Inputs!$C$23)*MAX(Inputs!$C$11,ROUND((Inputs!$C$6+4*Inputs!$C$7)*(1-Inputs!$C$8)^(($B6-Inputs!$C$10)/Inputs!$C$9),1)))/D$5)</f>
        <v/>
      </c>
      <c r="E6" s="16">
        <f>IF(E$5&lt;$B6,"",(MAX(0,MIN(E$5,Inputs!$D$19)-Inputs!$C$19)*MAX(Inputs!$C$11,ROUND((Inputs!$C$6+0*Inputs!$C$7)*(1-Inputs!$C$8)^(($B6-Inputs!$C$10)/Inputs!$C$9),1))+MAX(0,MIN(E$5,Inputs!$D$20)-Inputs!$C$20)*MAX(Inputs!$C$11,ROUND((Inputs!$C$6+1*Inputs!$C$7)*(1-Inputs!$C$8)^(($B6-Inputs!$C$10)/Inputs!$C$9),1))+MAX(0,MIN(E$5,Inputs!$D$21)-Inputs!$C$21)*MAX(Inputs!$C$11,ROUND((Inputs!$C$6+2*Inputs!$C$7)*(1-Inputs!$C$8)^(($B6-Inputs!$C$10)/Inputs!$C$9),1))+MAX(0,MIN(E$5,Inputs!$D$22)-Inputs!$C$22)*MAX(Inputs!$C$11,ROUND((Inputs!$C$6+3*Inputs!$C$7)*(1-Inputs!$C$8)^(($B6-Inputs!$C$10)/Inputs!$C$9),1))+MAX(0,MIN(E$5,Inputs!$D$23)-Inputs!$C$23)*MAX(Inputs!$C$11,ROUND((Inputs!$C$6+4*Inputs!$C$7)*(1-Inputs!$C$8)^(($B6-Inputs!$C$10)/Inputs!$C$9),1)))/E$5)</f>
        <v/>
      </c>
      <c r="F6" s="16">
        <f>IF(F$5&lt;$B6,"",(MAX(0,MIN(F$5,Inputs!$D$19)-Inputs!$C$19)*MAX(Inputs!$C$11,ROUND((Inputs!$C$6+0*Inputs!$C$7)*(1-Inputs!$C$8)^(($B6-Inputs!$C$10)/Inputs!$C$9),1))+MAX(0,MIN(F$5,Inputs!$D$20)-Inputs!$C$20)*MAX(Inputs!$C$11,ROUND((Inputs!$C$6+1*Inputs!$C$7)*(1-Inputs!$C$8)^(($B6-Inputs!$C$10)/Inputs!$C$9),1))+MAX(0,MIN(F$5,Inputs!$D$21)-Inputs!$C$21)*MAX(Inputs!$C$11,ROUND((Inputs!$C$6+2*Inputs!$C$7)*(1-Inputs!$C$8)^(($B6-Inputs!$C$10)/Inputs!$C$9),1))+MAX(0,MIN(F$5,Inputs!$D$22)-Inputs!$C$22)*MAX(Inputs!$C$11,ROUND((Inputs!$C$6+3*Inputs!$C$7)*(1-Inputs!$C$8)^(($B6-Inputs!$C$10)/Inputs!$C$9),1))+MAX(0,MIN(F$5,Inputs!$D$23)-Inputs!$C$23)*MAX(Inputs!$C$11,ROUND((Inputs!$C$6+4*Inputs!$C$7)*(1-Inputs!$C$8)^(($B6-Inputs!$C$10)/Inputs!$C$9),1)))/F$5)</f>
        <v/>
      </c>
      <c r="G6" s="16">
        <f>IF(G$5&lt;$B6,"",(MAX(0,MIN(G$5,Inputs!$D$19)-Inputs!$C$19)*MAX(Inputs!$C$11,ROUND((Inputs!$C$6+0*Inputs!$C$7)*(1-Inputs!$C$8)^(($B6-Inputs!$C$10)/Inputs!$C$9),1))+MAX(0,MIN(G$5,Inputs!$D$20)-Inputs!$C$20)*MAX(Inputs!$C$11,ROUND((Inputs!$C$6+1*Inputs!$C$7)*(1-Inputs!$C$8)^(($B6-Inputs!$C$10)/Inputs!$C$9),1))+MAX(0,MIN(G$5,Inputs!$D$21)-Inputs!$C$21)*MAX(Inputs!$C$11,ROUND((Inputs!$C$6+2*Inputs!$C$7)*(1-Inputs!$C$8)^(($B6-Inputs!$C$10)/Inputs!$C$9),1))+MAX(0,MIN(G$5,Inputs!$D$22)-Inputs!$C$22)*MAX(Inputs!$C$11,ROUND((Inputs!$C$6+3*Inputs!$C$7)*(1-Inputs!$C$8)^(($B6-Inputs!$C$10)/Inputs!$C$9),1))+MAX(0,MIN(G$5,Inputs!$D$23)-Inputs!$C$23)*MAX(Inputs!$C$11,ROUND((Inputs!$C$6+4*Inputs!$C$7)*(1-Inputs!$C$8)^(($B6-Inputs!$C$10)/Inputs!$C$9),1)))/G$5)</f>
        <v/>
      </c>
      <c r="H6" s="16">
        <f>IF(H$5&lt;$B6,"",(MAX(0,MIN(H$5,Inputs!$D$19)-Inputs!$C$19)*MAX(Inputs!$C$11,ROUND((Inputs!$C$6+0*Inputs!$C$7)*(1-Inputs!$C$8)^(($B6-Inputs!$C$10)/Inputs!$C$9),1))+MAX(0,MIN(H$5,Inputs!$D$20)-Inputs!$C$20)*MAX(Inputs!$C$11,ROUND((Inputs!$C$6+1*Inputs!$C$7)*(1-Inputs!$C$8)^(($B6-Inputs!$C$10)/Inputs!$C$9),1))+MAX(0,MIN(H$5,Inputs!$D$21)-Inputs!$C$21)*MAX(Inputs!$C$11,ROUND((Inputs!$C$6+2*Inputs!$C$7)*(1-Inputs!$C$8)^(($B6-Inputs!$C$10)/Inputs!$C$9),1))+MAX(0,MIN(H$5,Inputs!$D$22)-Inputs!$C$22)*MAX(Inputs!$C$11,ROUND((Inputs!$C$6+3*Inputs!$C$7)*(1-Inputs!$C$8)^(($B6-Inputs!$C$10)/Inputs!$C$9),1))+MAX(0,MIN(H$5,Inputs!$D$23)-Inputs!$C$23)*MAX(Inputs!$C$11,ROUND((Inputs!$C$6+4*Inputs!$C$7)*(1-Inputs!$C$8)^(($B6-Inputs!$C$10)/Inputs!$C$9),1)))/H$5)</f>
        <v/>
      </c>
    </row>
    <row r="7">
      <c r="B7" s="14" t="n">
        <v>20000</v>
      </c>
      <c r="C7" s="16">
        <f>IF(C$5&lt;$B7,"",(MAX(0,MIN(C$5,Inputs!$D$19)-Inputs!$C$19)*MAX(Inputs!$C$11,ROUND((Inputs!$C$6+0*Inputs!$C$7)*(1-Inputs!$C$8)^(($B7-Inputs!$C$10)/Inputs!$C$9),1))+MAX(0,MIN(C$5,Inputs!$D$20)-Inputs!$C$20)*MAX(Inputs!$C$11,ROUND((Inputs!$C$6+1*Inputs!$C$7)*(1-Inputs!$C$8)^(($B7-Inputs!$C$10)/Inputs!$C$9),1))+MAX(0,MIN(C$5,Inputs!$D$21)-Inputs!$C$21)*MAX(Inputs!$C$11,ROUND((Inputs!$C$6+2*Inputs!$C$7)*(1-Inputs!$C$8)^(($B7-Inputs!$C$10)/Inputs!$C$9),1))+MAX(0,MIN(C$5,Inputs!$D$22)-Inputs!$C$22)*MAX(Inputs!$C$11,ROUND((Inputs!$C$6+3*Inputs!$C$7)*(1-Inputs!$C$8)^(($B7-Inputs!$C$10)/Inputs!$C$9),1))+MAX(0,MIN(C$5,Inputs!$D$23)-Inputs!$C$23)*MAX(Inputs!$C$11,ROUND((Inputs!$C$6+4*Inputs!$C$7)*(1-Inputs!$C$8)^(($B7-Inputs!$C$10)/Inputs!$C$9),1)))/C$5)</f>
        <v/>
      </c>
      <c r="D7" s="16">
        <f>IF(D$5&lt;$B7,"",(MAX(0,MIN(D$5,Inputs!$D$19)-Inputs!$C$19)*MAX(Inputs!$C$11,ROUND((Inputs!$C$6+0*Inputs!$C$7)*(1-Inputs!$C$8)^(($B7-Inputs!$C$10)/Inputs!$C$9),1))+MAX(0,MIN(D$5,Inputs!$D$20)-Inputs!$C$20)*MAX(Inputs!$C$11,ROUND((Inputs!$C$6+1*Inputs!$C$7)*(1-Inputs!$C$8)^(($B7-Inputs!$C$10)/Inputs!$C$9),1))+MAX(0,MIN(D$5,Inputs!$D$21)-Inputs!$C$21)*MAX(Inputs!$C$11,ROUND((Inputs!$C$6+2*Inputs!$C$7)*(1-Inputs!$C$8)^(($B7-Inputs!$C$10)/Inputs!$C$9),1))+MAX(0,MIN(D$5,Inputs!$D$22)-Inputs!$C$22)*MAX(Inputs!$C$11,ROUND((Inputs!$C$6+3*Inputs!$C$7)*(1-Inputs!$C$8)^(($B7-Inputs!$C$10)/Inputs!$C$9),1))+MAX(0,MIN(D$5,Inputs!$D$23)-Inputs!$C$23)*MAX(Inputs!$C$11,ROUND((Inputs!$C$6+4*Inputs!$C$7)*(1-Inputs!$C$8)^(($B7-Inputs!$C$10)/Inputs!$C$9),1)))/D$5)</f>
        <v/>
      </c>
      <c r="E7" s="16">
        <f>IF(E$5&lt;$B7,"",(MAX(0,MIN(E$5,Inputs!$D$19)-Inputs!$C$19)*MAX(Inputs!$C$11,ROUND((Inputs!$C$6+0*Inputs!$C$7)*(1-Inputs!$C$8)^(($B7-Inputs!$C$10)/Inputs!$C$9),1))+MAX(0,MIN(E$5,Inputs!$D$20)-Inputs!$C$20)*MAX(Inputs!$C$11,ROUND((Inputs!$C$6+1*Inputs!$C$7)*(1-Inputs!$C$8)^(($B7-Inputs!$C$10)/Inputs!$C$9),1))+MAX(0,MIN(E$5,Inputs!$D$21)-Inputs!$C$21)*MAX(Inputs!$C$11,ROUND((Inputs!$C$6+2*Inputs!$C$7)*(1-Inputs!$C$8)^(($B7-Inputs!$C$10)/Inputs!$C$9),1))+MAX(0,MIN(E$5,Inputs!$D$22)-Inputs!$C$22)*MAX(Inputs!$C$11,ROUND((Inputs!$C$6+3*Inputs!$C$7)*(1-Inputs!$C$8)^(($B7-Inputs!$C$10)/Inputs!$C$9),1))+MAX(0,MIN(E$5,Inputs!$D$23)-Inputs!$C$23)*MAX(Inputs!$C$11,ROUND((Inputs!$C$6+4*Inputs!$C$7)*(1-Inputs!$C$8)^(($B7-Inputs!$C$10)/Inputs!$C$9),1)))/E$5)</f>
        <v/>
      </c>
      <c r="F7" s="16">
        <f>IF(F$5&lt;$B7,"",(MAX(0,MIN(F$5,Inputs!$D$19)-Inputs!$C$19)*MAX(Inputs!$C$11,ROUND((Inputs!$C$6+0*Inputs!$C$7)*(1-Inputs!$C$8)^(($B7-Inputs!$C$10)/Inputs!$C$9),1))+MAX(0,MIN(F$5,Inputs!$D$20)-Inputs!$C$20)*MAX(Inputs!$C$11,ROUND((Inputs!$C$6+1*Inputs!$C$7)*(1-Inputs!$C$8)^(($B7-Inputs!$C$10)/Inputs!$C$9),1))+MAX(0,MIN(F$5,Inputs!$D$21)-Inputs!$C$21)*MAX(Inputs!$C$11,ROUND((Inputs!$C$6+2*Inputs!$C$7)*(1-Inputs!$C$8)^(($B7-Inputs!$C$10)/Inputs!$C$9),1))+MAX(0,MIN(F$5,Inputs!$D$22)-Inputs!$C$22)*MAX(Inputs!$C$11,ROUND((Inputs!$C$6+3*Inputs!$C$7)*(1-Inputs!$C$8)^(($B7-Inputs!$C$10)/Inputs!$C$9),1))+MAX(0,MIN(F$5,Inputs!$D$23)-Inputs!$C$23)*MAX(Inputs!$C$11,ROUND((Inputs!$C$6+4*Inputs!$C$7)*(1-Inputs!$C$8)^(($B7-Inputs!$C$10)/Inputs!$C$9),1)))/F$5)</f>
        <v/>
      </c>
      <c r="G7" s="16">
        <f>IF(G$5&lt;$B7,"",(MAX(0,MIN(G$5,Inputs!$D$19)-Inputs!$C$19)*MAX(Inputs!$C$11,ROUND((Inputs!$C$6+0*Inputs!$C$7)*(1-Inputs!$C$8)^(($B7-Inputs!$C$10)/Inputs!$C$9),1))+MAX(0,MIN(G$5,Inputs!$D$20)-Inputs!$C$20)*MAX(Inputs!$C$11,ROUND((Inputs!$C$6+1*Inputs!$C$7)*(1-Inputs!$C$8)^(($B7-Inputs!$C$10)/Inputs!$C$9),1))+MAX(0,MIN(G$5,Inputs!$D$21)-Inputs!$C$21)*MAX(Inputs!$C$11,ROUND((Inputs!$C$6+2*Inputs!$C$7)*(1-Inputs!$C$8)^(($B7-Inputs!$C$10)/Inputs!$C$9),1))+MAX(0,MIN(G$5,Inputs!$D$22)-Inputs!$C$22)*MAX(Inputs!$C$11,ROUND((Inputs!$C$6+3*Inputs!$C$7)*(1-Inputs!$C$8)^(($B7-Inputs!$C$10)/Inputs!$C$9),1))+MAX(0,MIN(G$5,Inputs!$D$23)-Inputs!$C$23)*MAX(Inputs!$C$11,ROUND((Inputs!$C$6+4*Inputs!$C$7)*(1-Inputs!$C$8)^(($B7-Inputs!$C$10)/Inputs!$C$9),1)))/G$5)</f>
        <v/>
      </c>
      <c r="H7" s="16">
        <f>IF(H$5&lt;$B7,"",(MAX(0,MIN(H$5,Inputs!$D$19)-Inputs!$C$19)*MAX(Inputs!$C$11,ROUND((Inputs!$C$6+0*Inputs!$C$7)*(1-Inputs!$C$8)^(($B7-Inputs!$C$10)/Inputs!$C$9),1))+MAX(0,MIN(H$5,Inputs!$D$20)-Inputs!$C$20)*MAX(Inputs!$C$11,ROUND((Inputs!$C$6+1*Inputs!$C$7)*(1-Inputs!$C$8)^(($B7-Inputs!$C$10)/Inputs!$C$9),1))+MAX(0,MIN(H$5,Inputs!$D$21)-Inputs!$C$21)*MAX(Inputs!$C$11,ROUND((Inputs!$C$6+2*Inputs!$C$7)*(1-Inputs!$C$8)^(($B7-Inputs!$C$10)/Inputs!$C$9),1))+MAX(0,MIN(H$5,Inputs!$D$22)-Inputs!$C$22)*MAX(Inputs!$C$11,ROUND((Inputs!$C$6+3*Inputs!$C$7)*(1-Inputs!$C$8)^(($B7-Inputs!$C$10)/Inputs!$C$9),1))+MAX(0,MIN(H$5,Inputs!$D$23)-Inputs!$C$23)*MAX(Inputs!$C$11,ROUND((Inputs!$C$6+4*Inputs!$C$7)*(1-Inputs!$C$8)^(($B7-Inputs!$C$10)/Inputs!$C$9),1)))/H$5)</f>
        <v/>
      </c>
    </row>
    <row r="8">
      <c r="B8" s="14" t="n">
        <v>30000</v>
      </c>
      <c r="C8" s="16">
        <f>IF(C$5&lt;$B8,"",(MAX(0,MIN(C$5,Inputs!$D$19)-Inputs!$C$19)*MAX(Inputs!$C$11,ROUND((Inputs!$C$6+0*Inputs!$C$7)*(1-Inputs!$C$8)^(($B8-Inputs!$C$10)/Inputs!$C$9),1))+MAX(0,MIN(C$5,Inputs!$D$20)-Inputs!$C$20)*MAX(Inputs!$C$11,ROUND((Inputs!$C$6+1*Inputs!$C$7)*(1-Inputs!$C$8)^(($B8-Inputs!$C$10)/Inputs!$C$9),1))+MAX(0,MIN(C$5,Inputs!$D$21)-Inputs!$C$21)*MAX(Inputs!$C$11,ROUND((Inputs!$C$6+2*Inputs!$C$7)*(1-Inputs!$C$8)^(($B8-Inputs!$C$10)/Inputs!$C$9),1))+MAX(0,MIN(C$5,Inputs!$D$22)-Inputs!$C$22)*MAX(Inputs!$C$11,ROUND((Inputs!$C$6+3*Inputs!$C$7)*(1-Inputs!$C$8)^(($B8-Inputs!$C$10)/Inputs!$C$9),1))+MAX(0,MIN(C$5,Inputs!$D$23)-Inputs!$C$23)*MAX(Inputs!$C$11,ROUND((Inputs!$C$6+4*Inputs!$C$7)*(1-Inputs!$C$8)^(($B8-Inputs!$C$10)/Inputs!$C$9),1)))/C$5)</f>
        <v/>
      </c>
      <c r="D8" s="16">
        <f>IF(D$5&lt;$B8,"",(MAX(0,MIN(D$5,Inputs!$D$19)-Inputs!$C$19)*MAX(Inputs!$C$11,ROUND((Inputs!$C$6+0*Inputs!$C$7)*(1-Inputs!$C$8)^(($B8-Inputs!$C$10)/Inputs!$C$9),1))+MAX(0,MIN(D$5,Inputs!$D$20)-Inputs!$C$20)*MAX(Inputs!$C$11,ROUND((Inputs!$C$6+1*Inputs!$C$7)*(1-Inputs!$C$8)^(($B8-Inputs!$C$10)/Inputs!$C$9),1))+MAX(0,MIN(D$5,Inputs!$D$21)-Inputs!$C$21)*MAX(Inputs!$C$11,ROUND((Inputs!$C$6+2*Inputs!$C$7)*(1-Inputs!$C$8)^(($B8-Inputs!$C$10)/Inputs!$C$9),1))+MAX(0,MIN(D$5,Inputs!$D$22)-Inputs!$C$22)*MAX(Inputs!$C$11,ROUND((Inputs!$C$6+3*Inputs!$C$7)*(1-Inputs!$C$8)^(($B8-Inputs!$C$10)/Inputs!$C$9),1))+MAX(0,MIN(D$5,Inputs!$D$23)-Inputs!$C$23)*MAX(Inputs!$C$11,ROUND((Inputs!$C$6+4*Inputs!$C$7)*(1-Inputs!$C$8)^(($B8-Inputs!$C$10)/Inputs!$C$9),1)))/D$5)</f>
        <v/>
      </c>
      <c r="E8" s="16">
        <f>IF(E$5&lt;$B8,"",(MAX(0,MIN(E$5,Inputs!$D$19)-Inputs!$C$19)*MAX(Inputs!$C$11,ROUND((Inputs!$C$6+0*Inputs!$C$7)*(1-Inputs!$C$8)^(($B8-Inputs!$C$10)/Inputs!$C$9),1))+MAX(0,MIN(E$5,Inputs!$D$20)-Inputs!$C$20)*MAX(Inputs!$C$11,ROUND((Inputs!$C$6+1*Inputs!$C$7)*(1-Inputs!$C$8)^(($B8-Inputs!$C$10)/Inputs!$C$9),1))+MAX(0,MIN(E$5,Inputs!$D$21)-Inputs!$C$21)*MAX(Inputs!$C$11,ROUND((Inputs!$C$6+2*Inputs!$C$7)*(1-Inputs!$C$8)^(($B8-Inputs!$C$10)/Inputs!$C$9),1))+MAX(0,MIN(E$5,Inputs!$D$22)-Inputs!$C$22)*MAX(Inputs!$C$11,ROUND((Inputs!$C$6+3*Inputs!$C$7)*(1-Inputs!$C$8)^(($B8-Inputs!$C$10)/Inputs!$C$9),1))+MAX(0,MIN(E$5,Inputs!$D$23)-Inputs!$C$23)*MAX(Inputs!$C$11,ROUND((Inputs!$C$6+4*Inputs!$C$7)*(1-Inputs!$C$8)^(($B8-Inputs!$C$10)/Inputs!$C$9),1)))/E$5)</f>
        <v/>
      </c>
      <c r="F8" s="16">
        <f>IF(F$5&lt;$B8,"",(MAX(0,MIN(F$5,Inputs!$D$19)-Inputs!$C$19)*MAX(Inputs!$C$11,ROUND((Inputs!$C$6+0*Inputs!$C$7)*(1-Inputs!$C$8)^(($B8-Inputs!$C$10)/Inputs!$C$9),1))+MAX(0,MIN(F$5,Inputs!$D$20)-Inputs!$C$20)*MAX(Inputs!$C$11,ROUND((Inputs!$C$6+1*Inputs!$C$7)*(1-Inputs!$C$8)^(($B8-Inputs!$C$10)/Inputs!$C$9),1))+MAX(0,MIN(F$5,Inputs!$D$21)-Inputs!$C$21)*MAX(Inputs!$C$11,ROUND((Inputs!$C$6+2*Inputs!$C$7)*(1-Inputs!$C$8)^(($B8-Inputs!$C$10)/Inputs!$C$9),1))+MAX(0,MIN(F$5,Inputs!$D$22)-Inputs!$C$22)*MAX(Inputs!$C$11,ROUND((Inputs!$C$6+3*Inputs!$C$7)*(1-Inputs!$C$8)^(($B8-Inputs!$C$10)/Inputs!$C$9),1))+MAX(0,MIN(F$5,Inputs!$D$23)-Inputs!$C$23)*MAX(Inputs!$C$11,ROUND((Inputs!$C$6+4*Inputs!$C$7)*(1-Inputs!$C$8)^(($B8-Inputs!$C$10)/Inputs!$C$9),1)))/F$5)</f>
        <v/>
      </c>
      <c r="G8" s="16">
        <f>IF(G$5&lt;$B8,"",(MAX(0,MIN(G$5,Inputs!$D$19)-Inputs!$C$19)*MAX(Inputs!$C$11,ROUND((Inputs!$C$6+0*Inputs!$C$7)*(1-Inputs!$C$8)^(($B8-Inputs!$C$10)/Inputs!$C$9),1))+MAX(0,MIN(G$5,Inputs!$D$20)-Inputs!$C$20)*MAX(Inputs!$C$11,ROUND((Inputs!$C$6+1*Inputs!$C$7)*(1-Inputs!$C$8)^(($B8-Inputs!$C$10)/Inputs!$C$9),1))+MAX(0,MIN(G$5,Inputs!$D$21)-Inputs!$C$21)*MAX(Inputs!$C$11,ROUND((Inputs!$C$6+2*Inputs!$C$7)*(1-Inputs!$C$8)^(($B8-Inputs!$C$10)/Inputs!$C$9),1))+MAX(0,MIN(G$5,Inputs!$D$22)-Inputs!$C$22)*MAX(Inputs!$C$11,ROUND((Inputs!$C$6+3*Inputs!$C$7)*(1-Inputs!$C$8)^(($B8-Inputs!$C$10)/Inputs!$C$9),1))+MAX(0,MIN(G$5,Inputs!$D$23)-Inputs!$C$23)*MAX(Inputs!$C$11,ROUND((Inputs!$C$6+4*Inputs!$C$7)*(1-Inputs!$C$8)^(($B8-Inputs!$C$10)/Inputs!$C$9),1)))/G$5)</f>
        <v/>
      </c>
      <c r="H8" s="16">
        <f>IF(H$5&lt;$B8,"",(MAX(0,MIN(H$5,Inputs!$D$19)-Inputs!$C$19)*MAX(Inputs!$C$11,ROUND((Inputs!$C$6+0*Inputs!$C$7)*(1-Inputs!$C$8)^(($B8-Inputs!$C$10)/Inputs!$C$9),1))+MAX(0,MIN(H$5,Inputs!$D$20)-Inputs!$C$20)*MAX(Inputs!$C$11,ROUND((Inputs!$C$6+1*Inputs!$C$7)*(1-Inputs!$C$8)^(($B8-Inputs!$C$10)/Inputs!$C$9),1))+MAX(0,MIN(H$5,Inputs!$D$21)-Inputs!$C$21)*MAX(Inputs!$C$11,ROUND((Inputs!$C$6+2*Inputs!$C$7)*(1-Inputs!$C$8)^(($B8-Inputs!$C$10)/Inputs!$C$9),1))+MAX(0,MIN(H$5,Inputs!$D$22)-Inputs!$C$22)*MAX(Inputs!$C$11,ROUND((Inputs!$C$6+3*Inputs!$C$7)*(1-Inputs!$C$8)^(($B8-Inputs!$C$10)/Inputs!$C$9),1))+MAX(0,MIN(H$5,Inputs!$D$23)-Inputs!$C$23)*MAX(Inputs!$C$11,ROUND((Inputs!$C$6+4*Inputs!$C$7)*(1-Inputs!$C$8)^(($B8-Inputs!$C$10)/Inputs!$C$9),1)))/H$5)</f>
        <v/>
      </c>
    </row>
    <row r="9">
      <c r="B9" s="14" t="n">
        <v>40000</v>
      </c>
      <c r="C9" s="16">
        <f>IF(C$5&lt;$B9,"",(MAX(0,MIN(C$5,Inputs!$D$19)-Inputs!$C$19)*MAX(Inputs!$C$11,ROUND((Inputs!$C$6+0*Inputs!$C$7)*(1-Inputs!$C$8)^(($B9-Inputs!$C$10)/Inputs!$C$9),1))+MAX(0,MIN(C$5,Inputs!$D$20)-Inputs!$C$20)*MAX(Inputs!$C$11,ROUND((Inputs!$C$6+1*Inputs!$C$7)*(1-Inputs!$C$8)^(($B9-Inputs!$C$10)/Inputs!$C$9),1))+MAX(0,MIN(C$5,Inputs!$D$21)-Inputs!$C$21)*MAX(Inputs!$C$11,ROUND((Inputs!$C$6+2*Inputs!$C$7)*(1-Inputs!$C$8)^(($B9-Inputs!$C$10)/Inputs!$C$9),1))+MAX(0,MIN(C$5,Inputs!$D$22)-Inputs!$C$22)*MAX(Inputs!$C$11,ROUND((Inputs!$C$6+3*Inputs!$C$7)*(1-Inputs!$C$8)^(($B9-Inputs!$C$10)/Inputs!$C$9),1))+MAX(0,MIN(C$5,Inputs!$D$23)-Inputs!$C$23)*MAX(Inputs!$C$11,ROUND((Inputs!$C$6+4*Inputs!$C$7)*(1-Inputs!$C$8)^(($B9-Inputs!$C$10)/Inputs!$C$9),1)))/C$5)</f>
        <v/>
      </c>
      <c r="D9" s="16">
        <f>IF(D$5&lt;$B9,"",(MAX(0,MIN(D$5,Inputs!$D$19)-Inputs!$C$19)*MAX(Inputs!$C$11,ROUND((Inputs!$C$6+0*Inputs!$C$7)*(1-Inputs!$C$8)^(($B9-Inputs!$C$10)/Inputs!$C$9),1))+MAX(0,MIN(D$5,Inputs!$D$20)-Inputs!$C$20)*MAX(Inputs!$C$11,ROUND((Inputs!$C$6+1*Inputs!$C$7)*(1-Inputs!$C$8)^(($B9-Inputs!$C$10)/Inputs!$C$9),1))+MAX(0,MIN(D$5,Inputs!$D$21)-Inputs!$C$21)*MAX(Inputs!$C$11,ROUND((Inputs!$C$6+2*Inputs!$C$7)*(1-Inputs!$C$8)^(($B9-Inputs!$C$10)/Inputs!$C$9),1))+MAX(0,MIN(D$5,Inputs!$D$22)-Inputs!$C$22)*MAX(Inputs!$C$11,ROUND((Inputs!$C$6+3*Inputs!$C$7)*(1-Inputs!$C$8)^(($B9-Inputs!$C$10)/Inputs!$C$9),1))+MAX(0,MIN(D$5,Inputs!$D$23)-Inputs!$C$23)*MAX(Inputs!$C$11,ROUND((Inputs!$C$6+4*Inputs!$C$7)*(1-Inputs!$C$8)^(($B9-Inputs!$C$10)/Inputs!$C$9),1)))/D$5)</f>
        <v/>
      </c>
      <c r="E9" s="16">
        <f>IF(E$5&lt;$B9,"",(MAX(0,MIN(E$5,Inputs!$D$19)-Inputs!$C$19)*MAX(Inputs!$C$11,ROUND((Inputs!$C$6+0*Inputs!$C$7)*(1-Inputs!$C$8)^(($B9-Inputs!$C$10)/Inputs!$C$9),1))+MAX(0,MIN(E$5,Inputs!$D$20)-Inputs!$C$20)*MAX(Inputs!$C$11,ROUND((Inputs!$C$6+1*Inputs!$C$7)*(1-Inputs!$C$8)^(($B9-Inputs!$C$10)/Inputs!$C$9),1))+MAX(0,MIN(E$5,Inputs!$D$21)-Inputs!$C$21)*MAX(Inputs!$C$11,ROUND((Inputs!$C$6+2*Inputs!$C$7)*(1-Inputs!$C$8)^(($B9-Inputs!$C$10)/Inputs!$C$9),1))+MAX(0,MIN(E$5,Inputs!$D$22)-Inputs!$C$22)*MAX(Inputs!$C$11,ROUND((Inputs!$C$6+3*Inputs!$C$7)*(1-Inputs!$C$8)^(($B9-Inputs!$C$10)/Inputs!$C$9),1))+MAX(0,MIN(E$5,Inputs!$D$23)-Inputs!$C$23)*MAX(Inputs!$C$11,ROUND((Inputs!$C$6+4*Inputs!$C$7)*(1-Inputs!$C$8)^(($B9-Inputs!$C$10)/Inputs!$C$9),1)))/E$5)</f>
        <v/>
      </c>
      <c r="F9" s="16">
        <f>IF(F$5&lt;$B9,"",(MAX(0,MIN(F$5,Inputs!$D$19)-Inputs!$C$19)*MAX(Inputs!$C$11,ROUND((Inputs!$C$6+0*Inputs!$C$7)*(1-Inputs!$C$8)^(($B9-Inputs!$C$10)/Inputs!$C$9),1))+MAX(0,MIN(F$5,Inputs!$D$20)-Inputs!$C$20)*MAX(Inputs!$C$11,ROUND((Inputs!$C$6+1*Inputs!$C$7)*(1-Inputs!$C$8)^(($B9-Inputs!$C$10)/Inputs!$C$9),1))+MAX(0,MIN(F$5,Inputs!$D$21)-Inputs!$C$21)*MAX(Inputs!$C$11,ROUND((Inputs!$C$6+2*Inputs!$C$7)*(1-Inputs!$C$8)^(($B9-Inputs!$C$10)/Inputs!$C$9),1))+MAX(0,MIN(F$5,Inputs!$D$22)-Inputs!$C$22)*MAX(Inputs!$C$11,ROUND((Inputs!$C$6+3*Inputs!$C$7)*(1-Inputs!$C$8)^(($B9-Inputs!$C$10)/Inputs!$C$9),1))+MAX(0,MIN(F$5,Inputs!$D$23)-Inputs!$C$23)*MAX(Inputs!$C$11,ROUND((Inputs!$C$6+4*Inputs!$C$7)*(1-Inputs!$C$8)^(($B9-Inputs!$C$10)/Inputs!$C$9),1)))/F$5)</f>
        <v/>
      </c>
      <c r="G9" s="16">
        <f>IF(G$5&lt;$B9,"",(MAX(0,MIN(G$5,Inputs!$D$19)-Inputs!$C$19)*MAX(Inputs!$C$11,ROUND((Inputs!$C$6+0*Inputs!$C$7)*(1-Inputs!$C$8)^(($B9-Inputs!$C$10)/Inputs!$C$9),1))+MAX(0,MIN(G$5,Inputs!$D$20)-Inputs!$C$20)*MAX(Inputs!$C$11,ROUND((Inputs!$C$6+1*Inputs!$C$7)*(1-Inputs!$C$8)^(($B9-Inputs!$C$10)/Inputs!$C$9),1))+MAX(0,MIN(G$5,Inputs!$D$21)-Inputs!$C$21)*MAX(Inputs!$C$11,ROUND((Inputs!$C$6+2*Inputs!$C$7)*(1-Inputs!$C$8)^(($B9-Inputs!$C$10)/Inputs!$C$9),1))+MAX(0,MIN(G$5,Inputs!$D$22)-Inputs!$C$22)*MAX(Inputs!$C$11,ROUND((Inputs!$C$6+3*Inputs!$C$7)*(1-Inputs!$C$8)^(($B9-Inputs!$C$10)/Inputs!$C$9),1))+MAX(0,MIN(G$5,Inputs!$D$23)-Inputs!$C$23)*MAX(Inputs!$C$11,ROUND((Inputs!$C$6+4*Inputs!$C$7)*(1-Inputs!$C$8)^(($B9-Inputs!$C$10)/Inputs!$C$9),1)))/G$5)</f>
        <v/>
      </c>
      <c r="H9" s="16">
        <f>IF(H$5&lt;$B9,"",(MAX(0,MIN(H$5,Inputs!$D$19)-Inputs!$C$19)*MAX(Inputs!$C$11,ROUND((Inputs!$C$6+0*Inputs!$C$7)*(1-Inputs!$C$8)^(($B9-Inputs!$C$10)/Inputs!$C$9),1))+MAX(0,MIN(H$5,Inputs!$D$20)-Inputs!$C$20)*MAX(Inputs!$C$11,ROUND((Inputs!$C$6+1*Inputs!$C$7)*(1-Inputs!$C$8)^(($B9-Inputs!$C$10)/Inputs!$C$9),1))+MAX(0,MIN(H$5,Inputs!$D$21)-Inputs!$C$21)*MAX(Inputs!$C$11,ROUND((Inputs!$C$6+2*Inputs!$C$7)*(1-Inputs!$C$8)^(($B9-Inputs!$C$10)/Inputs!$C$9),1))+MAX(0,MIN(H$5,Inputs!$D$22)-Inputs!$C$22)*MAX(Inputs!$C$11,ROUND((Inputs!$C$6+3*Inputs!$C$7)*(1-Inputs!$C$8)^(($B9-Inputs!$C$10)/Inputs!$C$9),1))+MAX(0,MIN(H$5,Inputs!$D$23)-Inputs!$C$23)*MAX(Inputs!$C$11,ROUND((Inputs!$C$6+4*Inputs!$C$7)*(1-Inputs!$C$8)^(($B9-Inputs!$C$10)/Inputs!$C$9),1)))/H$5)</f>
        <v/>
      </c>
    </row>
    <row r="10">
      <c r="B10" s="14" t="n">
        <v>50000</v>
      </c>
      <c r="C10" s="16">
        <f>IF(C$5&lt;$B10,"",(MAX(0,MIN(C$5,Inputs!$D$19)-Inputs!$C$19)*MAX(Inputs!$C$11,ROUND((Inputs!$C$6+0*Inputs!$C$7)*(1-Inputs!$C$8)^(($B10-Inputs!$C$10)/Inputs!$C$9),1))+MAX(0,MIN(C$5,Inputs!$D$20)-Inputs!$C$20)*MAX(Inputs!$C$11,ROUND((Inputs!$C$6+1*Inputs!$C$7)*(1-Inputs!$C$8)^(($B10-Inputs!$C$10)/Inputs!$C$9),1))+MAX(0,MIN(C$5,Inputs!$D$21)-Inputs!$C$21)*MAX(Inputs!$C$11,ROUND((Inputs!$C$6+2*Inputs!$C$7)*(1-Inputs!$C$8)^(($B10-Inputs!$C$10)/Inputs!$C$9),1))+MAX(0,MIN(C$5,Inputs!$D$22)-Inputs!$C$22)*MAX(Inputs!$C$11,ROUND((Inputs!$C$6+3*Inputs!$C$7)*(1-Inputs!$C$8)^(($B10-Inputs!$C$10)/Inputs!$C$9),1))+MAX(0,MIN(C$5,Inputs!$D$23)-Inputs!$C$23)*MAX(Inputs!$C$11,ROUND((Inputs!$C$6+4*Inputs!$C$7)*(1-Inputs!$C$8)^(($B10-Inputs!$C$10)/Inputs!$C$9),1)))/C$5)</f>
        <v/>
      </c>
      <c r="D10" s="16">
        <f>IF(D$5&lt;$B10,"",(MAX(0,MIN(D$5,Inputs!$D$19)-Inputs!$C$19)*MAX(Inputs!$C$11,ROUND((Inputs!$C$6+0*Inputs!$C$7)*(1-Inputs!$C$8)^(($B10-Inputs!$C$10)/Inputs!$C$9),1))+MAX(0,MIN(D$5,Inputs!$D$20)-Inputs!$C$20)*MAX(Inputs!$C$11,ROUND((Inputs!$C$6+1*Inputs!$C$7)*(1-Inputs!$C$8)^(($B10-Inputs!$C$10)/Inputs!$C$9),1))+MAX(0,MIN(D$5,Inputs!$D$21)-Inputs!$C$21)*MAX(Inputs!$C$11,ROUND((Inputs!$C$6+2*Inputs!$C$7)*(1-Inputs!$C$8)^(($B10-Inputs!$C$10)/Inputs!$C$9),1))+MAX(0,MIN(D$5,Inputs!$D$22)-Inputs!$C$22)*MAX(Inputs!$C$11,ROUND((Inputs!$C$6+3*Inputs!$C$7)*(1-Inputs!$C$8)^(($B10-Inputs!$C$10)/Inputs!$C$9),1))+MAX(0,MIN(D$5,Inputs!$D$23)-Inputs!$C$23)*MAX(Inputs!$C$11,ROUND((Inputs!$C$6+4*Inputs!$C$7)*(1-Inputs!$C$8)^(($B10-Inputs!$C$10)/Inputs!$C$9),1)))/D$5)</f>
        <v/>
      </c>
      <c r="E10" s="16">
        <f>IF(E$5&lt;$B10,"",(MAX(0,MIN(E$5,Inputs!$D$19)-Inputs!$C$19)*MAX(Inputs!$C$11,ROUND((Inputs!$C$6+0*Inputs!$C$7)*(1-Inputs!$C$8)^(($B10-Inputs!$C$10)/Inputs!$C$9),1))+MAX(0,MIN(E$5,Inputs!$D$20)-Inputs!$C$20)*MAX(Inputs!$C$11,ROUND((Inputs!$C$6+1*Inputs!$C$7)*(1-Inputs!$C$8)^(($B10-Inputs!$C$10)/Inputs!$C$9),1))+MAX(0,MIN(E$5,Inputs!$D$21)-Inputs!$C$21)*MAX(Inputs!$C$11,ROUND((Inputs!$C$6+2*Inputs!$C$7)*(1-Inputs!$C$8)^(($B10-Inputs!$C$10)/Inputs!$C$9),1))+MAX(0,MIN(E$5,Inputs!$D$22)-Inputs!$C$22)*MAX(Inputs!$C$11,ROUND((Inputs!$C$6+3*Inputs!$C$7)*(1-Inputs!$C$8)^(($B10-Inputs!$C$10)/Inputs!$C$9),1))+MAX(0,MIN(E$5,Inputs!$D$23)-Inputs!$C$23)*MAX(Inputs!$C$11,ROUND((Inputs!$C$6+4*Inputs!$C$7)*(1-Inputs!$C$8)^(($B10-Inputs!$C$10)/Inputs!$C$9),1)))/E$5)</f>
        <v/>
      </c>
      <c r="F10" s="16">
        <f>IF(F$5&lt;$B10,"",(MAX(0,MIN(F$5,Inputs!$D$19)-Inputs!$C$19)*MAX(Inputs!$C$11,ROUND((Inputs!$C$6+0*Inputs!$C$7)*(1-Inputs!$C$8)^(($B10-Inputs!$C$10)/Inputs!$C$9),1))+MAX(0,MIN(F$5,Inputs!$D$20)-Inputs!$C$20)*MAX(Inputs!$C$11,ROUND((Inputs!$C$6+1*Inputs!$C$7)*(1-Inputs!$C$8)^(($B10-Inputs!$C$10)/Inputs!$C$9),1))+MAX(0,MIN(F$5,Inputs!$D$21)-Inputs!$C$21)*MAX(Inputs!$C$11,ROUND((Inputs!$C$6+2*Inputs!$C$7)*(1-Inputs!$C$8)^(($B10-Inputs!$C$10)/Inputs!$C$9),1))+MAX(0,MIN(F$5,Inputs!$D$22)-Inputs!$C$22)*MAX(Inputs!$C$11,ROUND((Inputs!$C$6+3*Inputs!$C$7)*(1-Inputs!$C$8)^(($B10-Inputs!$C$10)/Inputs!$C$9),1))+MAX(0,MIN(F$5,Inputs!$D$23)-Inputs!$C$23)*MAX(Inputs!$C$11,ROUND((Inputs!$C$6+4*Inputs!$C$7)*(1-Inputs!$C$8)^(($B10-Inputs!$C$10)/Inputs!$C$9),1)))/F$5)</f>
        <v/>
      </c>
      <c r="G10" s="16">
        <f>IF(G$5&lt;$B10,"",(MAX(0,MIN(G$5,Inputs!$D$19)-Inputs!$C$19)*MAX(Inputs!$C$11,ROUND((Inputs!$C$6+0*Inputs!$C$7)*(1-Inputs!$C$8)^(($B10-Inputs!$C$10)/Inputs!$C$9),1))+MAX(0,MIN(G$5,Inputs!$D$20)-Inputs!$C$20)*MAX(Inputs!$C$11,ROUND((Inputs!$C$6+1*Inputs!$C$7)*(1-Inputs!$C$8)^(($B10-Inputs!$C$10)/Inputs!$C$9),1))+MAX(0,MIN(G$5,Inputs!$D$21)-Inputs!$C$21)*MAX(Inputs!$C$11,ROUND((Inputs!$C$6+2*Inputs!$C$7)*(1-Inputs!$C$8)^(($B10-Inputs!$C$10)/Inputs!$C$9),1))+MAX(0,MIN(G$5,Inputs!$D$22)-Inputs!$C$22)*MAX(Inputs!$C$11,ROUND((Inputs!$C$6+3*Inputs!$C$7)*(1-Inputs!$C$8)^(($B10-Inputs!$C$10)/Inputs!$C$9),1))+MAX(0,MIN(G$5,Inputs!$D$23)-Inputs!$C$23)*MAX(Inputs!$C$11,ROUND((Inputs!$C$6+4*Inputs!$C$7)*(1-Inputs!$C$8)^(($B10-Inputs!$C$10)/Inputs!$C$9),1)))/G$5)</f>
        <v/>
      </c>
      <c r="H10" s="16">
        <f>IF(H$5&lt;$B10,"",(MAX(0,MIN(H$5,Inputs!$D$19)-Inputs!$C$19)*MAX(Inputs!$C$11,ROUND((Inputs!$C$6+0*Inputs!$C$7)*(1-Inputs!$C$8)^(($B10-Inputs!$C$10)/Inputs!$C$9),1))+MAX(0,MIN(H$5,Inputs!$D$20)-Inputs!$C$20)*MAX(Inputs!$C$11,ROUND((Inputs!$C$6+1*Inputs!$C$7)*(1-Inputs!$C$8)^(($B10-Inputs!$C$10)/Inputs!$C$9),1))+MAX(0,MIN(H$5,Inputs!$D$21)-Inputs!$C$21)*MAX(Inputs!$C$11,ROUND((Inputs!$C$6+2*Inputs!$C$7)*(1-Inputs!$C$8)^(($B10-Inputs!$C$10)/Inputs!$C$9),1))+MAX(0,MIN(H$5,Inputs!$D$22)-Inputs!$C$22)*MAX(Inputs!$C$11,ROUND((Inputs!$C$6+3*Inputs!$C$7)*(1-Inputs!$C$8)^(($B10-Inputs!$C$10)/Inputs!$C$9),1))+MAX(0,MIN(H$5,Inputs!$D$23)-Inputs!$C$23)*MAX(Inputs!$C$11,ROUND((Inputs!$C$6+4*Inputs!$C$7)*(1-Inputs!$C$8)^(($B10-Inputs!$C$10)/Inputs!$C$9),1)))/H$5)</f>
        <v/>
      </c>
    </row>
    <row r="11">
      <c r="B11" s="14" t="n">
        <v>60000</v>
      </c>
      <c r="C11" s="16">
        <f>IF(C$5&lt;$B11,"",(MAX(0,MIN(C$5,Inputs!$D$19)-Inputs!$C$19)*MAX(Inputs!$C$11,ROUND((Inputs!$C$6+0*Inputs!$C$7)*(1-Inputs!$C$8)^(($B11-Inputs!$C$10)/Inputs!$C$9),1))+MAX(0,MIN(C$5,Inputs!$D$20)-Inputs!$C$20)*MAX(Inputs!$C$11,ROUND((Inputs!$C$6+1*Inputs!$C$7)*(1-Inputs!$C$8)^(($B11-Inputs!$C$10)/Inputs!$C$9),1))+MAX(0,MIN(C$5,Inputs!$D$21)-Inputs!$C$21)*MAX(Inputs!$C$11,ROUND((Inputs!$C$6+2*Inputs!$C$7)*(1-Inputs!$C$8)^(($B11-Inputs!$C$10)/Inputs!$C$9),1))+MAX(0,MIN(C$5,Inputs!$D$22)-Inputs!$C$22)*MAX(Inputs!$C$11,ROUND((Inputs!$C$6+3*Inputs!$C$7)*(1-Inputs!$C$8)^(($B11-Inputs!$C$10)/Inputs!$C$9),1))+MAX(0,MIN(C$5,Inputs!$D$23)-Inputs!$C$23)*MAX(Inputs!$C$11,ROUND((Inputs!$C$6+4*Inputs!$C$7)*(1-Inputs!$C$8)^(($B11-Inputs!$C$10)/Inputs!$C$9),1)))/C$5)</f>
        <v/>
      </c>
      <c r="D11" s="16">
        <f>IF(D$5&lt;$B11,"",(MAX(0,MIN(D$5,Inputs!$D$19)-Inputs!$C$19)*MAX(Inputs!$C$11,ROUND((Inputs!$C$6+0*Inputs!$C$7)*(1-Inputs!$C$8)^(($B11-Inputs!$C$10)/Inputs!$C$9),1))+MAX(0,MIN(D$5,Inputs!$D$20)-Inputs!$C$20)*MAX(Inputs!$C$11,ROUND((Inputs!$C$6+1*Inputs!$C$7)*(1-Inputs!$C$8)^(($B11-Inputs!$C$10)/Inputs!$C$9),1))+MAX(0,MIN(D$5,Inputs!$D$21)-Inputs!$C$21)*MAX(Inputs!$C$11,ROUND((Inputs!$C$6+2*Inputs!$C$7)*(1-Inputs!$C$8)^(($B11-Inputs!$C$10)/Inputs!$C$9),1))+MAX(0,MIN(D$5,Inputs!$D$22)-Inputs!$C$22)*MAX(Inputs!$C$11,ROUND((Inputs!$C$6+3*Inputs!$C$7)*(1-Inputs!$C$8)^(($B11-Inputs!$C$10)/Inputs!$C$9),1))+MAX(0,MIN(D$5,Inputs!$D$23)-Inputs!$C$23)*MAX(Inputs!$C$11,ROUND((Inputs!$C$6+4*Inputs!$C$7)*(1-Inputs!$C$8)^(($B11-Inputs!$C$10)/Inputs!$C$9),1)))/D$5)</f>
        <v/>
      </c>
      <c r="E11" s="16">
        <f>IF(E$5&lt;$B11,"",(MAX(0,MIN(E$5,Inputs!$D$19)-Inputs!$C$19)*MAX(Inputs!$C$11,ROUND((Inputs!$C$6+0*Inputs!$C$7)*(1-Inputs!$C$8)^(($B11-Inputs!$C$10)/Inputs!$C$9),1))+MAX(0,MIN(E$5,Inputs!$D$20)-Inputs!$C$20)*MAX(Inputs!$C$11,ROUND((Inputs!$C$6+1*Inputs!$C$7)*(1-Inputs!$C$8)^(($B11-Inputs!$C$10)/Inputs!$C$9),1))+MAX(0,MIN(E$5,Inputs!$D$21)-Inputs!$C$21)*MAX(Inputs!$C$11,ROUND((Inputs!$C$6+2*Inputs!$C$7)*(1-Inputs!$C$8)^(($B11-Inputs!$C$10)/Inputs!$C$9),1))+MAX(0,MIN(E$5,Inputs!$D$22)-Inputs!$C$22)*MAX(Inputs!$C$11,ROUND((Inputs!$C$6+3*Inputs!$C$7)*(1-Inputs!$C$8)^(($B11-Inputs!$C$10)/Inputs!$C$9),1))+MAX(0,MIN(E$5,Inputs!$D$23)-Inputs!$C$23)*MAX(Inputs!$C$11,ROUND((Inputs!$C$6+4*Inputs!$C$7)*(1-Inputs!$C$8)^(($B11-Inputs!$C$10)/Inputs!$C$9),1)))/E$5)</f>
        <v/>
      </c>
      <c r="F11" s="16">
        <f>IF(F$5&lt;$B11,"",(MAX(0,MIN(F$5,Inputs!$D$19)-Inputs!$C$19)*MAX(Inputs!$C$11,ROUND((Inputs!$C$6+0*Inputs!$C$7)*(1-Inputs!$C$8)^(($B11-Inputs!$C$10)/Inputs!$C$9),1))+MAX(0,MIN(F$5,Inputs!$D$20)-Inputs!$C$20)*MAX(Inputs!$C$11,ROUND((Inputs!$C$6+1*Inputs!$C$7)*(1-Inputs!$C$8)^(($B11-Inputs!$C$10)/Inputs!$C$9),1))+MAX(0,MIN(F$5,Inputs!$D$21)-Inputs!$C$21)*MAX(Inputs!$C$11,ROUND((Inputs!$C$6+2*Inputs!$C$7)*(1-Inputs!$C$8)^(($B11-Inputs!$C$10)/Inputs!$C$9),1))+MAX(0,MIN(F$5,Inputs!$D$22)-Inputs!$C$22)*MAX(Inputs!$C$11,ROUND((Inputs!$C$6+3*Inputs!$C$7)*(1-Inputs!$C$8)^(($B11-Inputs!$C$10)/Inputs!$C$9),1))+MAX(0,MIN(F$5,Inputs!$D$23)-Inputs!$C$23)*MAX(Inputs!$C$11,ROUND((Inputs!$C$6+4*Inputs!$C$7)*(1-Inputs!$C$8)^(($B11-Inputs!$C$10)/Inputs!$C$9),1)))/F$5)</f>
        <v/>
      </c>
      <c r="G11" s="16">
        <f>IF(G$5&lt;$B11,"",(MAX(0,MIN(G$5,Inputs!$D$19)-Inputs!$C$19)*MAX(Inputs!$C$11,ROUND((Inputs!$C$6+0*Inputs!$C$7)*(1-Inputs!$C$8)^(($B11-Inputs!$C$10)/Inputs!$C$9),1))+MAX(0,MIN(G$5,Inputs!$D$20)-Inputs!$C$20)*MAX(Inputs!$C$11,ROUND((Inputs!$C$6+1*Inputs!$C$7)*(1-Inputs!$C$8)^(($B11-Inputs!$C$10)/Inputs!$C$9),1))+MAX(0,MIN(G$5,Inputs!$D$21)-Inputs!$C$21)*MAX(Inputs!$C$11,ROUND((Inputs!$C$6+2*Inputs!$C$7)*(1-Inputs!$C$8)^(($B11-Inputs!$C$10)/Inputs!$C$9),1))+MAX(0,MIN(G$5,Inputs!$D$22)-Inputs!$C$22)*MAX(Inputs!$C$11,ROUND((Inputs!$C$6+3*Inputs!$C$7)*(1-Inputs!$C$8)^(($B11-Inputs!$C$10)/Inputs!$C$9),1))+MAX(0,MIN(G$5,Inputs!$D$23)-Inputs!$C$23)*MAX(Inputs!$C$11,ROUND((Inputs!$C$6+4*Inputs!$C$7)*(1-Inputs!$C$8)^(($B11-Inputs!$C$10)/Inputs!$C$9),1)))/G$5)</f>
        <v/>
      </c>
      <c r="H11" s="16">
        <f>IF(H$5&lt;$B11,"",(MAX(0,MIN(H$5,Inputs!$D$19)-Inputs!$C$19)*MAX(Inputs!$C$11,ROUND((Inputs!$C$6+0*Inputs!$C$7)*(1-Inputs!$C$8)^(($B11-Inputs!$C$10)/Inputs!$C$9),1))+MAX(0,MIN(H$5,Inputs!$D$20)-Inputs!$C$20)*MAX(Inputs!$C$11,ROUND((Inputs!$C$6+1*Inputs!$C$7)*(1-Inputs!$C$8)^(($B11-Inputs!$C$10)/Inputs!$C$9),1))+MAX(0,MIN(H$5,Inputs!$D$21)-Inputs!$C$21)*MAX(Inputs!$C$11,ROUND((Inputs!$C$6+2*Inputs!$C$7)*(1-Inputs!$C$8)^(($B11-Inputs!$C$10)/Inputs!$C$9),1))+MAX(0,MIN(H$5,Inputs!$D$22)-Inputs!$C$22)*MAX(Inputs!$C$11,ROUND((Inputs!$C$6+3*Inputs!$C$7)*(1-Inputs!$C$8)^(($B11-Inputs!$C$10)/Inputs!$C$9),1))+MAX(0,MIN(H$5,Inputs!$D$23)-Inputs!$C$23)*MAX(Inputs!$C$11,ROUND((Inputs!$C$6+4*Inputs!$C$7)*(1-Inputs!$C$8)^(($B11-Inputs!$C$10)/Inputs!$C$9),1)))/H$5)</f>
        <v/>
      </c>
    </row>
    <row r="12">
      <c r="B12" s="14" t="n">
        <v>70000</v>
      </c>
      <c r="C12" s="16">
        <f>IF(C$5&lt;$B12,"",(MAX(0,MIN(C$5,Inputs!$D$19)-Inputs!$C$19)*MAX(Inputs!$C$11,ROUND((Inputs!$C$6+0*Inputs!$C$7)*(1-Inputs!$C$8)^(($B12-Inputs!$C$10)/Inputs!$C$9),1))+MAX(0,MIN(C$5,Inputs!$D$20)-Inputs!$C$20)*MAX(Inputs!$C$11,ROUND((Inputs!$C$6+1*Inputs!$C$7)*(1-Inputs!$C$8)^(($B12-Inputs!$C$10)/Inputs!$C$9),1))+MAX(0,MIN(C$5,Inputs!$D$21)-Inputs!$C$21)*MAX(Inputs!$C$11,ROUND((Inputs!$C$6+2*Inputs!$C$7)*(1-Inputs!$C$8)^(($B12-Inputs!$C$10)/Inputs!$C$9),1))+MAX(0,MIN(C$5,Inputs!$D$22)-Inputs!$C$22)*MAX(Inputs!$C$11,ROUND((Inputs!$C$6+3*Inputs!$C$7)*(1-Inputs!$C$8)^(($B12-Inputs!$C$10)/Inputs!$C$9),1))+MAX(0,MIN(C$5,Inputs!$D$23)-Inputs!$C$23)*MAX(Inputs!$C$11,ROUND((Inputs!$C$6+4*Inputs!$C$7)*(1-Inputs!$C$8)^(($B12-Inputs!$C$10)/Inputs!$C$9),1)))/C$5)</f>
        <v/>
      </c>
      <c r="D12" s="16">
        <f>IF(D$5&lt;$B12,"",(MAX(0,MIN(D$5,Inputs!$D$19)-Inputs!$C$19)*MAX(Inputs!$C$11,ROUND((Inputs!$C$6+0*Inputs!$C$7)*(1-Inputs!$C$8)^(($B12-Inputs!$C$10)/Inputs!$C$9),1))+MAX(0,MIN(D$5,Inputs!$D$20)-Inputs!$C$20)*MAX(Inputs!$C$11,ROUND((Inputs!$C$6+1*Inputs!$C$7)*(1-Inputs!$C$8)^(($B12-Inputs!$C$10)/Inputs!$C$9),1))+MAX(0,MIN(D$5,Inputs!$D$21)-Inputs!$C$21)*MAX(Inputs!$C$11,ROUND((Inputs!$C$6+2*Inputs!$C$7)*(1-Inputs!$C$8)^(($B12-Inputs!$C$10)/Inputs!$C$9),1))+MAX(0,MIN(D$5,Inputs!$D$22)-Inputs!$C$22)*MAX(Inputs!$C$11,ROUND((Inputs!$C$6+3*Inputs!$C$7)*(1-Inputs!$C$8)^(($B12-Inputs!$C$10)/Inputs!$C$9),1))+MAX(0,MIN(D$5,Inputs!$D$23)-Inputs!$C$23)*MAX(Inputs!$C$11,ROUND((Inputs!$C$6+4*Inputs!$C$7)*(1-Inputs!$C$8)^(($B12-Inputs!$C$10)/Inputs!$C$9),1)))/D$5)</f>
        <v/>
      </c>
      <c r="E12" s="16">
        <f>IF(E$5&lt;$B12,"",(MAX(0,MIN(E$5,Inputs!$D$19)-Inputs!$C$19)*MAX(Inputs!$C$11,ROUND((Inputs!$C$6+0*Inputs!$C$7)*(1-Inputs!$C$8)^(($B12-Inputs!$C$10)/Inputs!$C$9),1))+MAX(0,MIN(E$5,Inputs!$D$20)-Inputs!$C$20)*MAX(Inputs!$C$11,ROUND((Inputs!$C$6+1*Inputs!$C$7)*(1-Inputs!$C$8)^(($B12-Inputs!$C$10)/Inputs!$C$9),1))+MAX(0,MIN(E$5,Inputs!$D$21)-Inputs!$C$21)*MAX(Inputs!$C$11,ROUND((Inputs!$C$6+2*Inputs!$C$7)*(1-Inputs!$C$8)^(($B12-Inputs!$C$10)/Inputs!$C$9),1))+MAX(0,MIN(E$5,Inputs!$D$22)-Inputs!$C$22)*MAX(Inputs!$C$11,ROUND((Inputs!$C$6+3*Inputs!$C$7)*(1-Inputs!$C$8)^(($B12-Inputs!$C$10)/Inputs!$C$9),1))+MAX(0,MIN(E$5,Inputs!$D$23)-Inputs!$C$23)*MAX(Inputs!$C$11,ROUND((Inputs!$C$6+4*Inputs!$C$7)*(1-Inputs!$C$8)^(($B12-Inputs!$C$10)/Inputs!$C$9),1)))/E$5)</f>
        <v/>
      </c>
      <c r="F12" s="16">
        <f>IF(F$5&lt;$B12,"",(MAX(0,MIN(F$5,Inputs!$D$19)-Inputs!$C$19)*MAX(Inputs!$C$11,ROUND((Inputs!$C$6+0*Inputs!$C$7)*(1-Inputs!$C$8)^(($B12-Inputs!$C$10)/Inputs!$C$9),1))+MAX(0,MIN(F$5,Inputs!$D$20)-Inputs!$C$20)*MAX(Inputs!$C$11,ROUND((Inputs!$C$6+1*Inputs!$C$7)*(1-Inputs!$C$8)^(($B12-Inputs!$C$10)/Inputs!$C$9),1))+MAX(0,MIN(F$5,Inputs!$D$21)-Inputs!$C$21)*MAX(Inputs!$C$11,ROUND((Inputs!$C$6+2*Inputs!$C$7)*(1-Inputs!$C$8)^(($B12-Inputs!$C$10)/Inputs!$C$9),1))+MAX(0,MIN(F$5,Inputs!$D$22)-Inputs!$C$22)*MAX(Inputs!$C$11,ROUND((Inputs!$C$6+3*Inputs!$C$7)*(1-Inputs!$C$8)^(($B12-Inputs!$C$10)/Inputs!$C$9),1))+MAX(0,MIN(F$5,Inputs!$D$23)-Inputs!$C$23)*MAX(Inputs!$C$11,ROUND((Inputs!$C$6+4*Inputs!$C$7)*(1-Inputs!$C$8)^(($B12-Inputs!$C$10)/Inputs!$C$9),1)))/F$5)</f>
        <v/>
      </c>
      <c r="G12" s="16">
        <f>IF(G$5&lt;$B12,"",(MAX(0,MIN(G$5,Inputs!$D$19)-Inputs!$C$19)*MAX(Inputs!$C$11,ROUND((Inputs!$C$6+0*Inputs!$C$7)*(1-Inputs!$C$8)^(($B12-Inputs!$C$10)/Inputs!$C$9),1))+MAX(0,MIN(G$5,Inputs!$D$20)-Inputs!$C$20)*MAX(Inputs!$C$11,ROUND((Inputs!$C$6+1*Inputs!$C$7)*(1-Inputs!$C$8)^(($B12-Inputs!$C$10)/Inputs!$C$9),1))+MAX(0,MIN(G$5,Inputs!$D$21)-Inputs!$C$21)*MAX(Inputs!$C$11,ROUND((Inputs!$C$6+2*Inputs!$C$7)*(1-Inputs!$C$8)^(($B12-Inputs!$C$10)/Inputs!$C$9),1))+MAX(0,MIN(G$5,Inputs!$D$22)-Inputs!$C$22)*MAX(Inputs!$C$11,ROUND((Inputs!$C$6+3*Inputs!$C$7)*(1-Inputs!$C$8)^(($B12-Inputs!$C$10)/Inputs!$C$9),1))+MAX(0,MIN(G$5,Inputs!$D$23)-Inputs!$C$23)*MAX(Inputs!$C$11,ROUND((Inputs!$C$6+4*Inputs!$C$7)*(1-Inputs!$C$8)^(($B12-Inputs!$C$10)/Inputs!$C$9),1)))/G$5)</f>
        <v/>
      </c>
      <c r="H12" s="16">
        <f>IF(H$5&lt;$B12,"",(MAX(0,MIN(H$5,Inputs!$D$19)-Inputs!$C$19)*MAX(Inputs!$C$11,ROUND((Inputs!$C$6+0*Inputs!$C$7)*(1-Inputs!$C$8)^(($B12-Inputs!$C$10)/Inputs!$C$9),1))+MAX(0,MIN(H$5,Inputs!$D$20)-Inputs!$C$20)*MAX(Inputs!$C$11,ROUND((Inputs!$C$6+1*Inputs!$C$7)*(1-Inputs!$C$8)^(($B12-Inputs!$C$10)/Inputs!$C$9),1))+MAX(0,MIN(H$5,Inputs!$D$21)-Inputs!$C$21)*MAX(Inputs!$C$11,ROUND((Inputs!$C$6+2*Inputs!$C$7)*(1-Inputs!$C$8)^(($B12-Inputs!$C$10)/Inputs!$C$9),1))+MAX(0,MIN(H$5,Inputs!$D$22)-Inputs!$C$22)*MAX(Inputs!$C$11,ROUND((Inputs!$C$6+3*Inputs!$C$7)*(1-Inputs!$C$8)^(($B12-Inputs!$C$10)/Inputs!$C$9),1))+MAX(0,MIN(H$5,Inputs!$D$23)-Inputs!$C$23)*MAX(Inputs!$C$11,ROUND((Inputs!$C$6+4*Inputs!$C$7)*(1-Inputs!$C$8)^(($B12-Inputs!$C$10)/Inputs!$C$9),1)))/H$5)</f>
        <v/>
      </c>
    </row>
    <row r="13">
      <c r="B13" s="14" t="n">
        <v>80000</v>
      </c>
      <c r="C13" s="16">
        <f>IF(C$5&lt;$B13,"",(MAX(0,MIN(C$5,Inputs!$D$19)-Inputs!$C$19)*MAX(Inputs!$C$11,ROUND((Inputs!$C$6+0*Inputs!$C$7)*(1-Inputs!$C$8)^(($B13-Inputs!$C$10)/Inputs!$C$9),1))+MAX(0,MIN(C$5,Inputs!$D$20)-Inputs!$C$20)*MAX(Inputs!$C$11,ROUND((Inputs!$C$6+1*Inputs!$C$7)*(1-Inputs!$C$8)^(($B13-Inputs!$C$10)/Inputs!$C$9),1))+MAX(0,MIN(C$5,Inputs!$D$21)-Inputs!$C$21)*MAX(Inputs!$C$11,ROUND((Inputs!$C$6+2*Inputs!$C$7)*(1-Inputs!$C$8)^(($B13-Inputs!$C$10)/Inputs!$C$9),1))+MAX(0,MIN(C$5,Inputs!$D$22)-Inputs!$C$22)*MAX(Inputs!$C$11,ROUND((Inputs!$C$6+3*Inputs!$C$7)*(1-Inputs!$C$8)^(($B13-Inputs!$C$10)/Inputs!$C$9),1))+MAX(0,MIN(C$5,Inputs!$D$23)-Inputs!$C$23)*MAX(Inputs!$C$11,ROUND((Inputs!$C$6+4*Inputs!$C$7)*(1-Inputs!$C$8)^(($B13-Inputs!$C$10)/Inputs!$C$9),1)))/C$5)</f>
        <v/>
      </c>
      <c r="D13" s="16">
        <f>IF(D$5&lt;$B13,"",(MAX(0,MIN(D$5,Inputs!$D$19)-Inputs!$C$19)*MAX(Inputs!$C$11,ROUND((Inputs!$C$6+0*Inputs!$C$7)*(1-Inputs!$C$8)^(($B13-Inputs!$C$10)/Inputs!$C$9),1))+MAX(0,MIN(D$5,Inputs!$D$20)-Inputs!$C$20)*MAX(Inputs!$C$11,ROUND((Inputs!$C$6+1*Inputs!$C$7)*(1-Inputs!$C$8)^(($B13-Inputs!$C$10)/Inputs!$C$9),1))+MAX(0,MIN(D$5,Inputs!$D$21)-Inputs!$C$21)*MAX(Inputs!$C$11,ROUND((Inputs!$C$6+2*Inputs!$C$7)*(1-Inputs!$C$8)^(($B13-Inputs!$C$10)/Inputs!$C$9),1))+MAX(0,MIN(D$5,Inputs!$D$22)-Inputs!$C$22)*MAX(Inputs!$C$11,ROUND((Inputs!$C$6+3*Inputs!$C$7)*(1-Inputs!$C$8)^(($B13-Inputs!$C$10)/Inputs!$C$9),1))+MAX(0,MIN(D$5,Inputs!$D$23)-Inputs!$C$23)*MAX(Inputs!$C$11,ROUND((Inputs!$C$6+4*Inputs!$C$7)*(1-Inputs!$C$8)^(($B13-Inputs!$C$10)/Inputs!$C$9),1)))/D$5)</f>
        <v/>
      </c>
      <c r="E13" s="16">
        <f>IF(E$5&lt;$B13,"",(MAX(0,MIN(E$5,Inputs!$D$19)-Inputs!$C$19)*MAX(Inputs!$C$11,ROUND((Inputs!$C$6+0*Inputs!$C$7)*(1-Inputs!$C$8)^(($B13-Inputs!$C$10)/Inputs!$C$9),1))+MAX(0,MIN(E$5,Inputs!$D$20)-Inputs!$C$20)*MAX(Inputs!$C$11,ROUND((Inputs!$C$6+1*Inputs!$C$7)*(1-Inputs!$C$8)^(($B13-Inputs!$C$10)/Inputs!$C$9),1))+MAX(0,MIN(E$5,Inputs!$D$21)-Inputs!$C$21)*MAX(Inputs!$C$11,ROUND((Inputs!$C$6+2*Inputs!$C$7)*(1-Inputs!$C$8)^(($B13-Inputs!$C$10)/Inputs!$C$9),1))+MAX(0,MIN(E$5,Inputs!$D$22)-Inputs!$C$22)*MAX(Inputs!$C$11,ROUND((Inputs!$C$6+3*Inputs!$C$7)*(1-Inputs!$C$8)^(($B13-Inputs!$C$10)/Inputs!$C$9),1))+MAX(0,MIN(E$5,Inputs!$D$23)-Inputs!$C$23)*MAX(Inputs!$C$11,ROUND((Inputs!$C$6+4*Inputs!$C$7)*(1-Inputs!$C$8)^(($B13-Inputs!$C$10)/Inputs!$C$9),1)))/E$5)</f>
        <v/>
      </c>
      <c r="F13" s="16">
        <f>IF(F$5&lt;$B13,"",(MAX(0,MIN(F$5,Inputs!$D$19)-Inputs!$C$19)*MAX(Inputs!$C$11,ROUND((Inputs!$C$6+0*Inputs!$C$7)*(1-Inputs!$C$8)^(($B13-Inputs!$C$10)/Inputs!$C$9),1))+MAX(0,MIN(F$5,Inputs!$D$20)-Inputs!$C$20)*MAX(Inputs!$C$11,ROUND((Inputs!$C$6+1*Inputs!$C$7)*(1-Inputs!$C$8)^(($B13-Inputs!$C$10)/Inputs!$C$9),1))+MAX(0,MIN(F$5,Inputs!$D$21)-Inputs!$C$21)*MAX(Inputs!$C$11,ROUND((Inputs!$C$6+2*Inputs!$C$7)*(1-Inputs!$C$8)^(($B13-Inputs!$C$10)/Inputs!$C$9),1))+MAX(0,MIN(F$5,Inputs!$D$22)-Inputs!$C$22)*MAX(Inputs!$C$11,ROUND((Inputs!$C$6+3*Inputs!$C$7)*(1-Inputs!$C$8)^(($B13-Inputs!$C$10)/Inputs!$C$9),1))+MAX(0,MIN(F$5,Inputs!$D$23)-Inputs!$C$23)*MAX(Inputs!$C$11,ROUND((Inputs!$C$6+4*Inputs!$C$7)*(1-Inputs!$C$8)^(($B13-Inputs!$C$10)/Inputs!$C$9),1)))/F$5)</f>
        <v/>
      </c>
      <c r="G13" s="16">
        <f>IF(G$5&lt;$B13,"",(MAX(0,MIN(G$5,Inputs!$D$19)-Inputs!$C$19)*MAX(Inputs!$C$11,ROUND((Inputs!$C$6+0*Inputs!$C$7)*(1-Inputs!$C$8)^(($B13-Inputs!$C$10)/Inputs!$C$9),1))+MAX(0,MIN(G$5,Inputs!$D$20)-Inputs!$C$20)*MAX(Inputs!$C$11,ROUND((Inputs!$C$6+1*Inputs!$C$7)*(1-Inputs!$C$8)^(($B13-Inputs!$C$10)/Inputs!$C$9),1))+MAX(0,MIN(G$5,Inputs!$D$21)-Inputs!$C$21)*MAX(Inputs!$C$11,ROUND((Inputs!$C$6+2*Inputs!$C$7)*(1-Inputs!$C$8)^(($B13-Inputs!$C$10)/Inputs!$C$9),1))+MAX(0,MIN(G$5,Inputs!$D$22)-Inputs!$C$22)*MAX(Inputs!$C$11,ROUND((Inputs!$C$6+3*Inputs!$C$7)*(1-Inputs!$C$8)^(($B13-Inputs!$C$10)/Inputs!$C$9),1))+MAX(0,MIN(G$5,Inputs!$D$23)-Inputs!$C$23)*MAX(Inputs!$C$11,ROUND((Inputs!$C$6+4*Inputs!$C$7)*(1-Inputs!$C$8)^(($B13-Inputs!$C$10)/Inputs!$C$9),1)))/G$5)</f>
        <v/>
      </c>
      <c r="H13" s="16">
        <f>IF(H$5&lt;$B13,"",(MAX(0,MIN(H$5,Inputs!$D$19)-Inputs!$C$19)*MAX(Inputs!$C$11,ROUND((Inputs!$C$6+0*Inputs!$C$7)*(1-Inputs!$C$8)^(($B13-Inputs!$C$10)/Inputs!$C$9),1))+MAX(0,MIN(H$5,Inputs!$D$20)-Inputs!$C$20)*MAX(Inputs!$C$11,ROUND((Inputs!$C$6+1*Inputs!$C$7)*(1-Inputs!$C$8)^(($B13-Inputs!$C$10)/Inputs!$C$9),1))+MAX(0,MIN(H$5,Inputs!$D$21)-Inputs!$C$21)*MAX(Inputs!$C$11,ROUND((Inputs!$C$6+2*Inputs!$C$7)*(1-Inputs!$C$8)^(($B13-Inputs!$C$10)/Inputs!$C$9),1))+MAX(0,MIN(H$5,Inputs!$D$22)-Inputs!$C$22)*MAX(Inputs!$C$11,ROUND((Inputs!$C$6+3*Inputs!$C$7)*(1-Inputs!$C$8)^(($B13-Inputs!$C$10)/Inputs!$C$9),1))+MAX(0,MIN(H$5,Inputs!$D$23)-Inputs!$C$23)*MAX(Inputs!$C$11,ROUND((Inputs!$C$6+4*Inputs!$C$7)*(1-Inputs!$C$8)^(($B13-Inputs!$C$10)/Inputs!$C$9),1)))/H$5)</f>
        <v/>
      </c>
    </row>
    <row r="14">
      <c r="B14" s="14" t="n">
        <v>90000</v>
      </c>
      <c r="C14" s="16">
        <f>IF(C$5&lt;$B14,"",(MAX(0,MIN(C$5,Inputs!$D$19)-Inputs!$C$19)*MAX(Inputs!$C$11,ROUND((Inputs!$C$6+0*Inputs!$C$7)*(1-Inputs!$C$8)^(($B14-Inputs!$C$10)/Inputs!$C$9),1))+MAX(0,MIN(C$5,Inputs!$D$20)-Inputs!$C$20)*MAX(Inputs!$C$11,ROUND((Inputs!$C$6+1*Inputs!$C$7)*(1-Inputs!$C$8)^(($B14-Inputs!$C$10)/Inputs!$C$9),1))+MAX(0,MIN(C$5,Inputs!$D$21)-Inputs!$C$21)*MAX(Inputs!$C$11,ROUND((Inputs!$C$6+2*Inputs!$C$7)*(1-Inputs!$C$8)^(($B14-Inputs!$C$10)/Inputs!$C$9),1))+MAX(0,MIN(C$5,Inputs!$D$22)-Inputs!$C$22)*MAX(Inputs!$C$11,ROUND((Inputs!$C$6+3*Inputs!$C$7)*(1-Inputs!$C$8)^(($B14-Inputs!$C$10)/Inputs!$C$9),1))+MAX(0,MIN(C$5,Inputs!$D$23)-Inputs!$C$23)*MAX(Inputs!$C$11,ROUND((Inputs!$C$6+4*Inputs!$C$7)*(1-Inputs!$C$8)^(($B14-Inputs!$C$10)/Inputs!$C$9),1)))/C$5)</f>
        <v/>
      </c>
      <c r="D14" s="16">
        <f>IF(D$5&lt;$B14,"",(MAX(0,MIN(D$5,Inputs!$D$19)-Inputs!$C$19)*MAX(Inputs!$C$11,ROUND((Inputs!$C$6+0*Inputs!$C$7)*(1-Inputs!$C$8)^(($B14-Inputs!$C$10)/Inputs!$C$9),1))+MAX(0,MIN(D$5,Inputs!$D$20)-Inputs!$C$20)*MAX(Inputs!$C$11,ROUND((Inputs!$C$6+1*Inputs!$C$7)*(1-Inputs!$C$8)^(($B14-Inputs!$C$10)/Inputs!$C$9),1))+MAX(0,MIN(D$5,Inputs!$D$21)-Inputs!$C$21)*MAX(Inputs!$C$11,ROUND((Inputs!$C$6+2*Inputs!$C$7)*(1-Inputs!$C$8)^(($B14-Inputs!$C$10)/Inputs!$C$9),1))+MAX(0,MIN(D$5,Inputs!$D$22)-Inputs!$C$22)*MAX(Inputs!$C$11,ROUND((Inputs!$C$6+3*Inputs!$C$7)*(1-Inputs!$C$8)^(($B14-Inputs!$C$10)/Inputs!$C$9),1))+MAX(0,MIN(D$5,Inputs!$D$23)-Inputs!$C$23)*MAX(Inputs!$C$11,ROUND((Inputs!$C$6+4*Inputs!$C$7)*(1-Inputs!$C$8)^(($B14-Inputs!$C$10)/Inputs!$C$9),1)))/D$5)</f>
        <v/>
      </c>
      <c r="E14" s="16">
        <f>IF(E$5&lt;$B14,"",(MAX(0,MIN(E$5,Inputs!$D$19)-Inputs!$C$19)*MAX(Inputs!$C$11,ROUND((Inputs!$C$6+0*Inputs!$C$7)*(1-Inputs!$C$8)^(($B14-Inputs!$C$10)/Inputs!$C$9),1))+MAX(0,MIN(E$5,Inputs!$D$20)-Inputs!$C$20)*MAX(Inputs!$C$11,ROUND((Inputs!$C$6+1*Inputs!$C$7)*(1-Inputs!$C$8)^(($B14-Inputs!$C$10)/Inputs!$C$9),1))+MAX(0,MIN(E$5,Inputs!$D$21)-Inputs!$C$21)*MAX(Inputs!$C$11,ROUND((Inputs!$C$6+2*Inputs!$C$7)*(1-Inputs!$C$8)^(($B14-Inputs!$C$10)/Inputs!$C$9),1))+MAX(0,MIN(E$5,Inputs!$D$22)-Inputs!$C$22)*MAX(Inputs!$C$11,ROUND((Inputs!$C$6+3*Inputs!$C$7)*(1-Inputs!$C$8)^(($B14-Inputs!$C$10)/Inputs!$C$9),1))+MAX(0,MIN(E$5,Inputs!$D$23)-Inputs!$C$23)*MAX(Inputs!$C$11,ROUND((Inputs!$C$6+4*Inputs!$C$7)*(1-Inputs!$C$8)^(($B14-Inputs!$C$10)/Inputs!$C$9),1)))/E$5)</f>
        <v/>
      </c>
      <c r="F14" s="16">
        <f>IF(F$5&lt;$B14,"",(MAX(0,MIN(F$5,Inputs!$D$19)-Inputs!$C$19)*MAX(Inputs!$C$11,ROUND((Inputs!$C$6+0*Inputs!$C$7)*(1-Inputs!$C$8)^(($B14-Inputs!$C$10)/Inputs!$C$9),1))+MAX(0,MIN(F$5,Inputs!$D$20)-Inputs!$C$20)*MAX(Inputs!$C$11,ROUND((Inputs!$C$6+1*Inputs!$C$7)*(1-Inputs!$C$8)^(($B14-Inputs!$C$10)/Inputs!$C$9),1))+MAX(0,MIN(F$5,Inputs!$D$21)-Inputs!$C$21)*MAX(Inputs!$C$11,ROUND((Inputs!$C$6+2*Inputs!$C$7)*(1-Inputs!$C$8)^(($B14-Inputs!$C$10)/Inputs!$C$9),1))+MAX(0,MIN(F$5,Inputs!$D$22)-Inputs!$C$22)*MAX(Inputs!$C$11,ROUND((Inputs!$C$6+3*Inputs!$C$7)*(1-Inputs!$C$8)^(($B14-Inputs!$C$10)/Inputs!$C$9),1))+MAX(0,MIN(F$5,Inputs!$D$23)-Inputs!$C$23)*MAX(Inputs!$C$11,ROUND((Inputs!$C$6+4*Inputs!$C$7)*(1-Inputs!$C$8)^(($B14-Inputs!$C$10)/Inputs!$C$9),1)))/F$5)</f>
        <v/>
      </c>
      <c r="G14" s="16">
        <f>IF(G$5&lt;$B14,"",(MAX(0,MIN(G$5,Inputs!$D$19)-Inputs!$C$19)*MAX(Inputs!$C$11,ROUND((Inputs!$C$6+0*Inputs!$C$7)*(1-Inputs!$C$8)^(($B14-Inputs!$C$10)/Inputs!$C$9),1))+MAX(0,MIN(G$5,Inputs!$D$20)-Inputs!$C$20)*MAX(Inputs!$C$11,ROUND((Inputs!$C$6+1*Inputs!$C$7)*(1-Inputs!$C$8)^(($B14-Inputs!$C$10)/Inputs!$C$9),1))+MAX(0,MIN(G$5,Inputs!$D$21)-Inputs!$C$21)*MAX(Inputs!$C$11,ROUND((Inputs!$C$6+2*Inputs!$C$7)*(1-Inputs!$C$8)^(($B14-Inputs!$C$10)/Inputs!$C$9),1))+MAX(0,MIN(G$5,Inputs!$D$22)-Inputs!$C$22)*MAX(Inputs!$C$11,ROUND((Inputs!$C$6+3*Inputs!$C$7)*(1-Inputs!$C$8)^(($B14-Inputs!$C$10)/Inputs!$C$9),1))+MAX(0,MIN(G$5,Inputs!$D$23)-Inputs!$C$23)*MAX(Inputs!$C$11,ROUND((Inputs!$C$6+4*Inputs!$C$7)*(1-Inputs!$C$8)^(($B14-Inputs!$C$10)/Inputs!$C$9),1)))/G$5)</f>
        <v/>
      </c>
      <c r="H14" s="16">
        <f>IF(H$5&lt;$B14,"",(MAX(0,MIN(H$5,Inputs!$D$19)-Inputs!$C$19)*MAX(Inputs!$C$11,ROUND((Inputs!$C$6+0*Inputs!$C$7)*(1-Inputs!$C$8)^(($B14-Inputs!$C$10)/Inputs!$C$9),1))+MAX(0,MIN(H$5,Inputs!$D$20)-Inputs!$C$20)*MAX(Inputs!$C$11,ROUND((Inputs!$C$6+1*Inputs!$C$7)*(1-Inputs!$C$8)^(($B14-Inputs!$C$10)/Inputs!$C$9),1))+MAX(0,MIN(H$5,Inputs!$D$21)-Inputs!$C$21)*MAX(Inputs!$C$11,ROUND((Inputs!$C$6+2*Inputs!$C$7)*(1-Inputs!$C$8)^(($B14-Inputs!$C$10)/Inputs!$C$9),1))+MAX(0,MIN(H$5,Inputs!$D$22)-Inputs!$C$22)*MAX(Inputs!$C$11,ROUND((Inputs!$C$6+3*Inputs!$C$7)*(1-Inputs!$C$8)^(($B14-Inputs!$C$10)/Inputs!$C$9),1))+MAX(0,MIN(H$5,Inputs!$D$23)-Inputs!$C$23)*MAX(Inputs!$C$11,ROUND((Inputs!$C$6+4*Inputs!$C$7)*(1-Inputs!$C$8)^(($B14-Inputs!$C$10)/Inputs!$C$9),1)))/H$5)</f>
        <v/>
      </c>
    </row>
    <row r="15">
      <c r="B15" s="14" t="n">
        <v>100000</v>
      </c>
      <c r="C15" s="16">
        <f>IF(C$5&lt;$B15,"",(MAX(0,MIN(C$5,Inputs!$D$19)-Inputs!$C$19)*MAX(Inputs!$C$11,ROUND((Inputs!$C$6+0*Inputs!$C$7)*(1-Inputs!$C$8)^(($B15-Inputs!$C$10)/Inputs!$C$9),1))+MAX(0,MIN(C$5,Inputs!$D$20)-Inputs!$C$20)*MAX(Inputs!$C$11,ROUND((Inputs!$C$6+1*Inputs!$C$7)*(1-Inputs!$C$8)^(($B15-Inputs!$C$10)/Inputs!$C$9),1))+MAX(0,MIN(C$5,Inputs!$D$21)-Inputs!$C$21)*MAX(Inputs!$C$11,ROUND((Inputs!$C$6+2*Inputs!$C$7)*(1-Inputs!$C$8)^(($B15-Inputs!$C$10)/Inputs!$C$9),1))+MAX(0,MIN(C$5,Inputs!$D$22)-Inputs!$C$22)*MAX(Inputs!$C$11,ROUND((Inputs!$C$6+3*Inputs!$C$7)*(1-Inputs!$C$8)^(($B15-Inputs!$C$10)/Inputs!$C$9),1))+MAX(0,MIN(C$5,Inputs!$D$23)-Inputs!$C$23)*MAX(Inputs!$C$11,ROUND((Inputs!$C$6+4*Inputs!$C$7)*(1-Inputs!$C$8)^(($B15-Inputs!$C$10)/Inputs!$C$9),1)))/C$5)</f>
        <v/>
      </c>
      <c r="D15" s="16">
        <f>IF(D$5&lt;$B15,"",(MAX(0,MIN(D$5,Inputs!$D$19)-Inputs!$C$19)*MAX(Inputs!$C$11,ROUND((Inputs!$C$6+0*Inputs!$C$7)*(1-Inputs!$C$8)^(($B15-Inputs!$C$10)/Inputs!$C$9),1))+MAX(0,MIN(D$5,Inputs!$D$20)-Inputs!$C$20)*MAX(Inputs!$C$11,ROUND((Inputs!$C$6+1*Inputs!$C$7)*(1-Inputs!$C$8)^(($B15-Inputs!$C$10)/Inputs!$C$9),1))+MAX(0,MIN(D$5,Inputs!$D$21)-Inputs!$C$21)*MAX(Inputs!$C$11,ROUND((Inputs!$C$6+2*Inputs!$C$7)*(1-Inputs!$C$8)^(($B15-Inputs!$C$10)/Inputs!$C$9),1))+MAX(0,MIN(D$5,Inputs!$D$22)-Inputs!$C$22)*MAX(Inputs!$C$11,ROUND((Inputs!$C$6+3*Inputs!$C$7)*(1-Inputs!$C$8)^(($B15-Inputs!$C$10)/Inputs!$C$9),1))+MAX(0,MIN(D$5,Inputs!$D$23)-Inputs!$C$23)*MAX(Inputs!$C$11,ROUND((Inputs!$C$6+4*Inputs!$C$7)*(1-Inputs!$C$8)^(($B15-Inputs!$C$10)/Inputs!$C$9),1)))/D$5)</f>
        <v/>
      </c>
      <c r="E15" s="16">
        <f>IF(E$5&lt;$B15,"",(MAX(0,MIN(E$5,Inputs!$D$19)-Inputs!$C$19)*MAX(Inputs!$C$11,ROUND((Inputs!$C$6+0*Inputs!$C$7)*(1-Inputs!$C$8)^(($B15-Inputs!$C$10)/Inputs!$C$9),1))+MAX(0,MIN(E$5,Inputs!$D$20)-Inputs!$C$20)*MAX(Inputs!$C$11,ROUND((Inputs!$C$6+1*Inputs!$C$7)*(1-Inputs!$C$8)^(($B15-Inputs!$C$10)/Inputs!$C$9),1))+MAX(0,MIN(E$5,Inputs!$D$21)-Inputs!$C$21)*MAX(Inputs!$C$11,ROUND((Inputs!$C$6+2*Inputs!$C$7)*(1-Inputs!$C$8)^(($B15-Inputs!$C$10)/Inputs!$C$9),1))+MAX(0,MIN(E$5,Inputs!$D$22)-Inputs!$C$22)*MAX(Inputs!$C$11,ROUND((Inputs!$C$6+3*Inputs!$C$7)*(1-Inputs!$C$8)^(($B15-Inputs!$C$10)/Inputs!$C$9),1))+MAX(0,MIN(E$5,Inputs!$D$23)-Inputs!$C$23)*MAX(Inputs!$C$11,ROUND((Inputs!$C$6+4*Inputs!$C$7)*(1-Inputs!$C$8)^(($B15-Inputs!$C$10)/Inputs!$C$9),1)))/E$5)</f>
        <v/>
      </c>
      <c r="F15" s="16">
        <f>IF(F$5&lt;$B15,"",(MAX(0,MIN(F$5,Inputs!$D$19)-Inputs!$C$19)*MAX(Inputs!$C$11,ROUND((Inputs!$C$6+0*Inputs!$C$7)*(1-Inputs!$C$8)^(($B15-Inputs!$C$10)/Inputs!$C$9),1))+MAX(0,MIN(F$5,Inputs!$D$20)-Inputs!$C$20)*MAX(Inputs!$C$11,ROUND((Inputs!$C$6+1*Inputs!$C$7)*(1-Inputs!$C$8)^(($B15-Inputs!$C$10)/Inputs!$C$9),1))+MAX(0,MIN(F$5,Inputs!$D$21)-Inputs!$C$21)*MAX(Inputs!$C$11,ROUND((Inputs!$C$6+2*Inputs!$C$7)*(1-Inputs!$C$8)^(($B15-Inputs!$C$10)/Inputs!$C$9),1))+MAX(0,MIN(F$5,Inputs!$D$22)-Inputs!$C$22)*MAX(Inputs!$C$11,ROUND((Inputs!$C$6+3*Inputs!$C$7)*(1-Inputs!$C$8)^(($B15-Inputs!$C$10)/Inputs!$C$9),1))+MAX(0,MIN(F$5,Inputs!$D$23)-Inputs!$C$23)*MAX(Inputs!$C$11,ROUND((Inputs!$C$6+4*Inputs!$C$7)*(1-Inputs!$C$8)^(($B15-Inputs!$C$10)/Inputs!$C$9),1)))/F$5)</f>
        <v/>
      </c>
      <c r="G15" s="16">
        <f>IF(G$5&lt;$B15,"",(MAX(0,MIN(G$5,Inputs!$D$19)-Inputs!$C$19)*MAX(Inputs!$C$11,ROUND((Inputs!$C$6+0*Inputs!$C$7)*(1-Inputs!$C$8)^(($B15-Inputs!$C$10)/Inputs!$C$9),1))+MAX(0,MIN(G$5,Inputs!$D$20)-Inputs!$C$20)*MAX(Inputs!$C$11,ROUND((Inputs!$C$6+1*Inputs!$C$7)*(1-Inputs!$C$8)^(($B15-Inputs!$C$10)/Inputs!$C$9),1))+MAX(0,MIN(G$5,Inputs!$D$21)-Inputs!$C$21)*MAX(Inputs!$C$11,ROUND((Inputs!$C$6+2*Inputs!$C$7)*(1-Inputs!$C$8)^(($B15-Inputs!$C$10)/Inputs!$C$9),1))+MAX(0,MIN(G$5,Inputs!$D$22)-Inputs!$C$22)*MAX(Inputs!$C$11,ROUND((Inputs!$C$6+3*Inputs!$C$7)*(1-Inputs!$C$8)^(($B15-Inputs!$C$10)/Inputs!$C$9),1))+MAX(0,MIN(G$5,Inputs!$D$23)-Inputs!$C$23)*MAX(Inputs!$C$11,ROUND((Inputs!$C$6+4*Inputs!$C$7)*(1-Inputs!$C$8)^(($B15-Inputs!$C$10)/Inputs!$C$9),1)))/G$5)</f>
        <v/>
      </c>
      <c r="H15" s="16">
        <f>IF(H$5&lt;$B15,"",(MAX(0,MIN(H$5,Inputs!$D$19)-Inputs!$C$19)*MAX(Inputs!$C$11,ROUND((Inputs!$C$6+0*Inputs!$C$7)*(1-Inputs!$C$8)^(($B15-Inputs!$C$10)/Inputs!$C$9),1))+MAX(0,MIN(H$5,Inputs!$D$20)-Inputs!$C$20)*MAX(Inputs!$C$11,ROUND((Inputs!$C$6+1*Inputs!$C$7)*(1-Inputs!$C$8)^(($B15-Inputs!$C$10)/Inputs!$C$9),1))+MAX(0,MIN(H$5,Inputs!$D$21)-Inputs!$C$21)*MAX(Inputs!$C$11,ROUND((Inputs!$C$6+2*Inputs!$C$7)*(1-Inputs!$C$8)^(($B15-Inputs!$C$10)/Inputs!$C$9),1))+MAX(0,MIN(H$5,Inputs!$D$22)-Inputs!$C$22)*MAX(Inputs!$C$11,ROUND((Inputs!$C$6+3*Inputs!$C$7)*(1-Inputs!$C$8)^(($B15-Inputs!$C$10)/Inputs!$C$9),1))+MAX(0,MIN(H$5,Inputs!$D$23)-Inputs!$C$23)*MAX(Inputs!$C$11,ROUND((Inputs!$C$6+4*Inputs!$C$7)*(1-Inputs!$C$8)^(($B15-Inputs!$C$10)/Inputs!$C$9),1)))/H$5)</f>
        <v/>
      </c>
    </row>
    <row r="17">
      <c r="B17" s="2" t="inlineStr">
        <is>
          <t>Each row is exactly the discount step below the row above it, because the commitment discount applies to every band equally.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6" customWidth="1" min="3" max="3"/>
    <col width="16" customWidth="1" min="4" max="4"/>
    <col width="16" customWidth="1" min="5" max="5"/>
    <col width="60" customWidth="1" min="6" max="6"/>
  </cols>
  <sheetData>
    <row r="2">
      <c r="B2" s="1" t="inlineStr">
        <is>
          <t>Platform fees and service levels</t>
        </is>
      </c>
    </row>
    <row r="3">
      <c r="B3" s="2" t="inlineStr">
        <is>
          <t>The platform fee is a separate lever from the minimum commitment. The pairing below is the standard default, not a lock.</t>
        </is>
      </c>
    </row>
    <row r="5">
      <c r="B5" s="7" t="inlineStr">
        <is>
          <t>Tier</t>
        </is>
      </c>
      <c r="C5" s="7" t="inlineStr">
        <is>
          <t>Minimum commitment</t>
        </is>
      </c>
      <c r="D5" s="7" t="inlineStr">
        <is>
          <t>Annual fee</t>
        </is>
      </c>
      <c r="E5" s="7" t="inlineStr">
        <is>
          <t>Monthly fee</t>
        </is>
      </c>
    </row>
    <row r="6">
      <c r="B6" s="4" t="inlineStr">
        <is>
          <t>Scale</t>
        </is>
      </c>
      <c r="C6" s="5" t="inlineStr">
        <is>
          <t>10,000 to 40,000 filings</t>
        </is>
      </c>
      <c r="D6" s="27" t="n">
        <v>60000</v>
      </c>
      <c r="E6" s="28" t="n">
        <v>5000</v>
      </c>
    </row>
    <row r="7">
      <c r="B7" s="4" t="inlineStr">
        <is>
          <t>Growth</t>
        </is>
      </c>
      <c r="C7" s="5" t="inlineStr">
        <is>
          <t>50,000 to 90,000 filings</t>
        </is>
      </c>
      <c r="D7" s="27" t="n">
        <v>150000</v>
      </c>
      <c r="E7" s="28" t="n">
        <v>12500</v>
      </c>
    </row>
    <row r="8">
      <c r="B8" s="4" t="inlineStr">
        <is>
          <t>Enterprise</t>
        </is>
      </c>
      <c r="C8" s="5" t="inlineStr">
        <is>
          <t>100,000+ filings</t>
        </is>
      </c>
      <c r="D8" s="27" t="n">
        <v>240000</v>
      </c>
      <c r="E8" s="28" t="n">
        <v>20000</v>
      </c>
    </row>
    <row r="10">
      <c r="B10" s="3" t="inlineStr">
        <is>
          <t>Service levels</t>
        </is>
      </c>
    </row>
    <row r="11">
      <c r="B11" s="7" t="inlineStr">
        <is>
          <t>Dimension</t>
        </is>
      </c>
      <c r="C11" s="7" t="inlineStr">
        <is>
          <t>Scale</t>
        </is>
      </c>
      <c r="D11" s="7" t="inlineStr">
        <is>
          <t>Growth</t>
        </is>
      </c>
      <c r="E11" s="7" t="inlineStr">
        <is>
          <t>Enterprise</t>
        </is>
      </c>
    </row>
    <row r="12" ht="30" customHeight="1">
      <c r="B12" s="4" t="inlineStr">
        <is>
          <t>Implementation support</t>
        </is>
      </c>
      <c r="C12" s="29" t="inlineStr">
        <is>
          <t>15 hrs (launch readiness)</t>
        </is>
      </c>
      <c r="D12" s="29" t="inlineStr">
        <is>
          <t>30 hrs (workflow + conversion review)</t>
        </is>
      </c>
      <c r="E12" s="29" t="inlineStr">
        <is>
          <t>75 hrs (dedicated tech owner)</t>
        </is>
      </c>
    </row>
    <row r="13" ht="30" customHeight="1">
      <c r="B13" s="4" t="inlineStr">
        <is>
          <t>Customer success</t>
        </is>
      </c>
      <c r="C13" s="29" t="inlineStr">
        <is>
          <t>Shared CSM</t>
        </is>
      </c>
      <c r="D13" s="29" t="inlineStr">
        <is>
          <t>Named CSM</t>
        </is>
      </c>
      <c r="E13" s="29" t="inlineStr">
        <is>
          <t>Named CSM + exec sponsor</t>
        </is>
      </c>
    </row>
    <row r="14" ht="30" customHeight="1">
      <c r="B14" s="4" t="inlineStr">
        <is>
          <t>Operating cadence</t>
        </is>
      </c>
      <c r="C14" s="29" t="inlineStr">
        <is>
          <t>Monthly partner call</t>
        </is>
      </c>
      <c r="D14" s="29" t="inlineStr">
        <is>
          <t>Bi-weekly CSM call</t>
        </is>
      </c>
      <c r="E14" s="29" t="inlineStr">
        <is>
          <t>Weekly CSM + strategic reviews</t>
        </is>
      </c>
    </row>
    <row r="15" ht="30" customHeight="1">
      <c r="B15" s="4" t="inlineStr">
        <is>
          <t>SLA response time</t>
        </is>
      </c>
      <c r="C15" s="29" t="inlineStr">
        <is>
          <t>12 hrs (business hours)</t>
        </is>
      </c>
      <c r="D15" s="29" t="inlineStr">
        <is>
          <t>6 hrs (business hours)</t>
        </is>
      </c>
      <c r="E15" s="29" t="inlineStr">
        <is>
          <t>3 hrs (business hours)</t>
        </is>
      </c>
    </row>
    <row r="16" ht="30" customHeight="1">
      <c r="B16" s="4" t="inlineStr">
        <is>
          <t>Reporting</t>
        </is>
      </c>
      <c r="C16" s="29" t="inlineStr">
        <is>
          <t>Volumes, funnel, error rates, cohort views</t>
        </is>
      </c>
      <c r="D16" s="29" t="inlineStr">
        <is>
          <t>+ Segmentation, conversion deep dives</t>
        </is>
      </c>
      <c r="E16" s="29" t="inlineStr">
        <is>
          <t>+ Custom KPIs, bespoke dashboards, exports</t>
        </is>
      </c>
    </row>
    <row r="17" ht="30" customHeight="1">
      <c r="B17" s="4" t="inlineStr">
        <is>
          <t>Marketing enablement</t>
        </is>
      </c>
      <c r="C17" s="29" t="inlineStr">
        <is>
          <t>Retargeting, seasonal playbook, kickoff session</t>
        </is>
      </c>
      <c r="D17" s="29" t="inlineStr">
        <is>
          <t>+ Monthly in-season updates, survey customization</t>
        </is>
      </c>
      <c r="E17" s="29" t="inlineStr">
        <is>
          <t>+ Case study, co-promotion, direct line</t>
        </is>
      </c>
    </row>
    <row r="20">
      <c r="B20" s="2" t="inlineStr">
        <is>
          <t>There is no Starter tier. Anything under the Scale minimum is steered up to Scale or handled off-framework. Most fintechs land at Scale or Growth.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2026-08-13T23:23:28Z</dcterms:created>
  <dcterms:modified xsi:type="dcterms:W3CDTF">2026-08-13T23:23:28Z</dcterms:modified>
</cp:coreProperties>
</file>